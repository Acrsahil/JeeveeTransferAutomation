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SIDE\Desktop\TransferAutomation\"/>
    </mc:Choice>
  </mc:AlternateContent>
  <xr:revisionPtr revIDLastSave="0" documentId="13_ncr:1_{9570DB9D-5BED-4E51-A5DA-D9442EEC8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2" i="1"/>
  <c r="J3" i="1"/>
  <c r="K3" i="1" s="1"/>
  <c r="J4" i="1"/>
  <c r="J5" i="1"/>
  <c r="K5" i="1" s="1"/>
  <c r="J6" i="1"/>
  <c r="J7" i="1"/>
  <c r="J8" i="1"/>
  <c r="J9" i="1"/>
  <c r="J10" i="1"/>
  <c r="J11" i="1"/>
  <c r="K11" i="1" s="1"/>
  <c r="J12" i="1"/>
  <c r="K12" i="1" s="1"/>
  <c r="J13" i="1"/>
  <c r="J14" i="1"/>
  <c r="J15" i="1"/>
  <c r="K15" i="1" s="1"/>
  <c r="J16" i="1"/>
  <c r="J17" i="1"/>
  <c r="J18" i="1"/>
  <c r="J19" i="1"/>
  <c r="K19" i="1" s="1"/>
  <c r="J20" i="1"/>
  <c r="J21" i="1"/>
  <c r="K21" i="1" s="1"/>
  <c r="J22" i="1"/>
  <c r="K22" i="1" s="1"/>
  <c r="J23" i="1"/>
  <c r="J24" i="1"/>
  <c r="K24" i="1" s="1"/>
  <c r="J25" i="1"/>
  <c r="K25" i="1" s="1"/>
  <c r="J26" i="1"/>
  <c r="J27" i="1"/>
  <c r="J28" i="1"/>
  <c r="J29" i="1"/>
  <c r="J30" i="1"/>
  <c r="J31" i="1"/>
  <c r="K31" i="1" s="1"/>
  <c r="J32" i="1"/>
  <c r="K32" i="1" s="1"/>
  <c r="J33" i="1"/>
  <c r="J34" i="1"/>
  <c r="J35" i="1"/>
  <c r="J36" i="1"/>
  <c r="J37" i="1"/>
  <c r="K37" i="1" s="1"/>
  <c r="J38" i="1"/>
  <c r="J39" i="1"/>
  <c r="J40" i="1"/>
  <c r="K40" i="1" s="1"/>
  <c r="J41" i="1"/>
  <c r="J42" i="1"/>
  <c r="J43" i="1"/>
  <c r="J44" i="1"/>
  <c r="K44" i="1" s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K63" i="1" s="1"/>
  <c r="J64" i="1"/>
  <c r="J65" i="1"/>
  <c r="K65" i="1" s="1"/>
  <c r="J66" i="1"/>
  <c r="K66" i="1" s="1"/>
  <c r="J67" i="1"/>
  <c r="J68" i="1"/>
  <c r="K68" i="1" s="1"/>
  <c r="J69" i="1"/>
  <c r="J70" i="1"/>
  <c r="K70" i="1" s="1"/>
  <c r="J71" i="1"/>
  <c r="K71" i="1" s="1"/>
  <c r="J72" i="1"/>
  <c r="J73" i="1"/>
  <c r="J74" i="1"/>
  <c r="J75" i="1"/>
  <c r="J76" i="1"/>
  <c r="J77" i="1"/>
  <c r="J78" i="1"/>
  <c r="J79" i="1"/>
  <c r="K79" i="1" s="1"/>
  <c r="J80" i="1"/>
  <c r="K80" i="1" s="1"/>
  <c r="J81" i="1"/>
  <c r="K81" i="1" s="1"/>
  <c r="J82" i="1"/>
  <c r="J83" i="1"/>
  <c r="J84" i="1"/>
  <c r="K84" i="1" s="1"/>
  <c r="J85" i="1"/>
  <c r="K85" i="1" s="1"/>
  <c r="J86" i="1"/>
  <c r="K86" i="1" s="1"/>
  <c r="J87" i="1"/>
  <c r="J88" i="1"/>
  <c r="K88" i="1" s="1"/>
  <c r="J89" i="1"/>
  <c r="K89" i="1" s="1"/>
  <c r="J90" i="1"/>
  <c r="K90" i="1" s="1"/>
  <c r="J91" i="1"/>
  <c r="K91" i="1" s="1"/>
  <c r="J92" i="1"/>
  <c r="J93" i="1"/>
  <c r="K93" i="1" s="1"/>
  <c r="J94" i="1"/>
  <c r="K94" i="1" s="1"/>
  <c r="J95" i="1"/>
  <c r="K95" i="1" s="1"/>
  <c r="J96" i="1"/>
  <c r="K96" i="1" s="1"/>
  <c r="J97" i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J107" i="1"/>
  <c r="K107" i="1" s="1"/>
  <c r="J108" i="1"/>
  <c r="J109" i="1"/>
  <c r="K109" i="1" s="1"/>
  <c r="J110" i="1"/>
  <c r="K110" i="1" s="1"/>
  <c r="J111" i="1"/>
  <c r="K111" i="1" s="1"/>
  <c r="J112" i="1"/>
  <c r="J113" i="1"/>
  <c r="K113" i="1" s="1"/>
  <c r="J114" i="1"/>
  <c r="K114" i="1" s="1"/>
  <c r="J115" i="1"/>
  <c r="J116" i="1"/>
  <c r="J117" i="1"/>
  <c r="K117" i="1" s="1"/>
  <c r="J118" i="1"/>
  <c r="K118" i="1" s="1"/>
  <c r="J119" i="1"/>
  <c r="J120" i="1"/>
  <c r="K120" i="1" s="1"/>
  <c r="J121" i="1"/>
  <c r="J122" i="1"/>
  <c r="K122" i="1" s="1"/>
  <c r="J123" i="1"/>
  <c r="K123" i="1" s="1"/>
  <c r="J124" i="1"/>
  <c r="J125" i="1"/>
  <c r="K125" i="1" s="1"/>
  <c r="J126" i="1"/>
  <c r="K126" i="1" s="1"/>
  <c r="J127" i="1"/>
  <c r="K127" i="1" s="1"/>
  <c r="J128" i="1"/>
  <c r="K128" i="1" s="1"/>
  <c r="J129" i="1"/>
  <c r="J130" i="1"/>
  <c r="K130" i="1" s="1"/>
  <c r="J131" i="1"/>
  <c r="K131" i="1" s="1"/>
  <c r="J132" i="1"/>
  <c r="J133" i="1"/>
  <c r="K133" i="1" s="1"/>
  <c r="J134" i="1"/>
  <c r="K134" i="1" s="1"/>
  <c r="J135" i="1"/>
  <c r="J136" i="1"/>
  <c r="J137" i="1"/>
  <c r="J138" i="1"/>
  <c r="J139" i="1"/>
  <c r="J140" i="1"/>
  <c r="J141" i="1"/>
  <c r="K141" i="1" s="1"/>
  <c r="J142" i="1"/>
  <c r="K142" i="1" s="1"/>
  <c r="J143" i="1"/>
  <c r="J144" i="1"/>
  <c r="J145" i="1"/>
  <c r="K145" i="1" s="1"/>
  <c r="J146" i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J155" i="1"/>
  <c r="K155" i="1" s="1"/>
  <c r="J156" i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J166" i="1"/>
  <c r="J167" i="1"/>
  <c r="J168" i="1"/>
  <c r="K168" i="1" s="1"/>
  <c r="J169" i="1"/>
  <c r="K169" i="1" s="1"/>
  <c r="J170" i="1"/>
  <c r="K170" i="1" s="1"/>
  <c r="J171" i="1"/>
  <c r="J172" i="1"/>
  <c r="K172" i="1" s="1"/>
  <c r="J173" i="1"/>
  <c r="K173" i="1" s="1"/>
  <c r="J174" i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J185" i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J199" i="1"/>
  <c r="K199" i="1" s="1"/>
  <c r="J200" i="1"/>
  <c r="J201" i="1"/>
  <c r="J202" i="1"/>
  <c r="J203" i="1"/>
  <c r="J204" i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J215" i="1"/>
  <c r="K215" i="1" s="1"/>
  <c r="J216" i="1"/>
  <c r="K216" i="1" s="1"/>
  <c r="J217" i="1"/>
  <c r="K217" i="1" s="1"/>
  <c r="J218" i="1"/>
  <c r="K218" i="1" s="1"/>
  <c r="J219" i="1"/>
  <c r="J220" i="1"/>
  <c r="K220" i="1" s="1"/>
  <c r="J221" i="1"/>
  <c r="K221" i="1" s="1"/>
  <c r="J222" i="1"/>
  <c r="K222" i="1" s="1"/>
  <c r="J223" i="1"/>
  <c r="J224" i="1"/>
  <c r="J225" i="1"/>
  <c r="K225" i="1" s="1"/>
  <c r="J226" i="1"/>
  <c r="K226" i="1" s="1"/>
  <c r="J227" i="1"/>
  <c r="K227" i="1" s="1"/>
  <c r="J228" i="1"/>
  <c r="J229" i="1"/>
  <c r="K229" i="1" s="1"/>
  <c r="J230" i="1"/>
  <c r="K230" i="1" s="1"/>
  <c r="J231" i="1"/>
  <c r="K231" i="1" s="1"/>
  <c r="J232" i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J240" i="1"/>
  <c r="K240" i="1" s="1"/>
  <c r="J241" i="1"/>
  <c r="J242" i="1"/>
  <c r="J243" i="1"/>
  <c r="K243" i="1" s="1"/>
  <c r="J244" i="1"/>
  <c r="J245" i="1"/>
  <c r="K245" i="1" s="1"/>
  <c r="J246" i="1"/>
  <c r="J247" i="1"/>
  <c r="K247" i="1" s="1"/>
  <c r="J248" i="1"/>
  <c r="K248" i="1" s="1"/>
  <c r="J249" i="1"/>
  <c r="J250" i="1"/>
  <c r="K250" i="1" s="1"/>
  <c r="J251" i="1"/>
  <c r="K251" i="1" s="1"/>
  <c r="J252" i="1"/>
  <c r="J253" i="1"/>
  <c r="K253" i="1" s="1"/>
  <c r="J254" i="1"/>
  <c r="K254" i="1" s="1"/>
  <c r="J255" i="1"/>
  <c r="K255" i="1" s="1"/>
  <c r="J256" i="1"/>
  <c r="J257" i="1"/>
  <c r="K257" i="1" s="1"/>
  <c r="J258" i="1"/>
  <c r="J259" i="1"/>
  <c r="J260" i="1"/>
  <c r="K260" i="1" s="1"/>
  <c r="J261" i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J279" i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J287" i="1"/>
  <c r="K287" i="1" s="1"/>
  <c r="J288" i="1"/>
  <c r="J289" i="1"/>
  <c r="J290" i="1"/>
  <c r="J291" i="1"/>
  <c r="K291" i="1" s="1"/>
  <c r="J292" i="1"/>
  <c r="J293" i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J309" i="1"/>
  <c r="K309" i="1" s="1"/>
  <c r="J310" i="1"/>
  <c r="J311" i="1"/>
  <c r="J312" i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J321" i="1"/>
  <c r="K321" i="1" s="1"/>
  <c r="J322" i="1"/>
  <c r="K322" i="1" s="1"/>
  <c r="J323" i="1"/>
  <c r="K323" i="1" s="1"/>
  <c r="J324" i="1"/>
  <c r="J325" i="1"/>
  <c r="K325" i="1" s="1"/>
  <c r="J326" i="1"/>
  <c r="K326" i="1" s="1"/>
  <c r="J327" i="1"/>
  <c r="K327" i="1" s="1"/>
  <c r="J328" i="1"/>
  <c r="K328" i="1" s="1"/>
  <c r="J329" i="1"/>
  <c r="J330" i="1"/>
  <c r="J331" i="1"/>
  <c r="J332" i="1"/>
  <c r="K332" i="1" s="1"/>
  <c r="J333" i="1"/>
  <c r="K333" i="1" s="1"/>
  <c r="J334" i="1"/>
  <c r="J335" i="1"/>
  <c r="K335" i="1" s="1"/>
  <c r="J336" i="1"/>
  <c r="J337" i="1"/>
  <c r="J338" i="1"/>
  <c r="K338" i="1" s="1"/>
  <c r="J339" i="1"/>
  <c r="K339" i="1" s="1"/>
  <c r="J340" i="1"/>
  <c r="J341" i="1"/>
  <c r="J342" i="1"/>
  <c r="J343" i="1"/>
  <c r="K343" i="1" s="1"/>
  <c r="J344" i="1"/>
  <c r="J345" i="1"/>
  <c r="J346" i="1"/>
  <c r="K346" i="1" s="1"/>
  <c r="J347" i="1"/>
  <c r="K347" i="1" s="1"/>
  <c r="J348" i="1"/>
  <c r="K348" i="1" s="1"/>
  <c r="J349" i="1"/>
  <c r="J350" i="1"/>
  <c r="K350" i="1" s="1"/>
  <c r="J351" i="1"/>
  <c r="K351" i="1" s="1"/>
  <c r="J352" i="1"/>
  <c r="K352" i="1" s="1"/>
  <c r="J353" i="1"/>
  <c r="J354" i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J361" i="1"/>
  <c r="K361" i="1" s="1"/>
  <c r="J362" i="1"/>
  <c r="K362" i="1" s="1"/>
  <c r="J363" i="1"/>
  <c r="K363" i="1" s="1"/>
  <c r="J364" i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K385" i="1" s="1"/>
  <c r="J386" i="1"/>
  <c r="J387" i="1"/>
  <c r="J388" i="1"/>
  <c r="K388" i="1" s="1"/>
  <c r="J389" i="1"/>
  <c r="J390" i="1"/>
  <c r="K390" i="1" s="1"/>
  <c r="J391" i="1"/>
  <c r="K391" i="1" s="1"/>
  <c r="J392" i="1"/>
  <c r="J393" i="1"/>
  <c r="K393" i="1" s="1"/>
  <c r="J394" i="1"/>
  <c r="K394" i="1" s="1"/>
  <c r="J395" i="1"/>
  <c r="J396" i="1"/>
  <c r="K396" i="1" s="1"/>
  <c r="J397" i="1"/>
  <c r="K397" i="1" s="1"/>
  <c r="J398" i="1"/>
  <c r="K398" i="1" s="1"/>
  <c r="J399" i="1"/>
  <c r="J400" i="1"/>
  <c r="K400" i="1" s="1"/>
  <c r="J401" i="1"/>
  <c r="K401" i="1" s="1"/>
  <c r="J402" i="1"/>
  <c r="J403" i="1"/>
  <c r="J404" i="1"/>
  <c r="J405" i="1"/>
  <c r="J406" i="1"/>
  <c r="J407" i="1"/>
  <c r="J408" i="1"/>
  <c r="J409" i="1"/>
  <c r="J410" i="1"/>
  <c r="K410" i="1" s="1"/>
  <c r="J411" i="1"/>
  <c r="J412" i="1"/>
  <c r="J413" i="1"/>
  <c r="J414" i="1"/>
  <c r="J415" i="1"/>
  <c r="K415" i="1" s="1"/>
  <c r="J416" i="1"/>
  <c r="J417" i="1"/>
  <c r="J418" i="1"/>
  <c r="K418" i="1" s="1"/>
  <c r="J419" i="1"/>
  <c r="J420" i="1"/>
  <c r="J421" i="1"/>
  <c r="K421" i="1" s="1"/>
  <c r="J422" i="1"/>
  <c r="K422" i="1" s="1"/>
  <c r="J423" i="1"/>
  <c r="J424" i="1"/>
  <c r="J425" i="1"/>
  <c r="J426" i="1"/>
  <c r="K426" i="1" s="1"/>
  <c r="J427" i="1"/>
  <c r="K427" i="1" s="1"/>
  <c r="J428" i="1"/>
  <c r="K428" i="1" s="1"/>
  <c r="J429" i="1"/>
  <c r="J430" i="1"/>
  <c r="K430" i="1" s="1"/>
  <c r="J431" i="1"/>
  <c r="J432" i="1"/>
  <c r="J433" i="1"/>
  <c r="K433" i="1" s="1"/>
  <c r="J434" i="1"/>
  <c r="J435" i="1"/>
  <c r="K435" i="1" s="1"/>
  <c r="J436" i="1"/>
  <c r="J437" i="1"/>
  <c r="K437" i="1" s="1"/>
  <c r="J438" i="1"/>
  <c r="K438" i="1" s="1"/>
  <c r="J439" i="1"/>
  <c r="K439" i="1" s="1"/>
  <c r="J440" i="1"/>
  <c r="K440" i="1" s="1"/>
  <c r="J441" i="1"/>
  <c r="J442" i="1"/>
  <c r="K442" i="1" s="1"/>
  <c r="J443" i="1"/>
  <c r="K443" i="1" s="1"/>
  <c r="J444" i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J451" i="1"/>
  <c r="K451" i="1" s="1"/>
  <c r="J452" i="1"/>
  <c r="K452" i="1" s="1"/>
  <c r="J453" i="1"/>
  <c r="K453" i="1" s="1"/>
  <c r="J454" i="1"/>
  <c r="K454" i="1" s="1"/>
  <c r="J455" i="1"/>
  <c r="J456" i="1"/>
  <c r="K456" i="1" s="1"/>
  <c r="J457" i="1"/>
  <c r="K457" i="1" s="1"/>
  <c r="J458" i="1"/>
  <c r="K458" i="1" s="1"/>
  <c r="J459" i="1"/>
  <c r="J460" i="1"/>
  <c r="J461" i="1"/>
  <c r="J462" i="1"/>
  <c r="J463" i="1"/>
  <c r="J464" i="1"/>
  <c r="J465" i="1"/>
  <c r="J466" i="1"/>
  <c r="K466" i="1" s="1"/>
  <c r="J467" i="1"/>
  <c r="K467" i="1" s="1"/>
  <c r="J468" i="1"/>
  <c r="K468" i="1" s="1"/>
  <c r="J469" i="1"/>
  <c r="J470" i="1"/>
  <c r="K470" i="1" s="1"/>
  <c r="J471" i="1"/>
  <c r="J472" i="1"/>
  <c r="J473" i="1"/>
  <c r="J474" i="1"/>
  <c r="K474" i="1" s="1"/>
  <c r="J475" i="1"/>
  <c r="K475" i="1" s="1"/>
  <c r="J476" i="1"/>
  <c r="J477" i="1"/>
  <c r="K477" i="1" s="1"/>
  <c r="J478" i="1"/>
  <c r="K478" i="1" s="1"/>
  <c r="J479" i="1"/>
  <c r="J480" i="1"/>
  <c r="J481" i="1"/>
  <c r="J482" i="1"/>
  <c r="J483" i="1"/>
  <c r="J484" i="1"/>
  <c r="J485" i="1"/>
  <c r="K485" i="1" s="1"/>
  <c r="J486" i="1"/>
  <c r="K486" i="1" s="1"/>
  <c r="J487" i="1"/>
  <c r="K487" i="1" s="1"/>
  <c r="J488" i="1"/>
  <c r="J489" i="1"/>
  <c r="J490" i="1"/>
  <c r="J491" i="1"/>
  <c r="K491" i="1" s="1"/>
  <c r="J492" i="1"/>
  <c r="K492" i="1" s="1"/>
  <c r="J493" i="1"/>
  <c r="J494" i="1"/>
  <c r="J495" i="1"/>
  <c r="J496" i="1"/>
  <c r="K496" i="1" s="1"/>
  <c r="J497" i="1"/>
  <c r="K497" i="1" s="1"/>
  <c r="J498" i="1"/>
  <c r="K498" i="1" s="1"/>
  <c r="J499" i="1"/>
  <c r="J500" i="1"/>
  <c r="J501" i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J512" i="1"/>
  <c r="K512" i="1" s="1"/>
  <c r="J513" i="1"/>
  <c r="K513" i="1" s="1"/>
  <c r="J514" i="1"/>
  <c r="K514" i="1" s="1"/>
  <c r="J515" i="1"/>
  <c r="J516" i="1"/>
  <c r="J517" i="1"/>
  <c r="J518" i="1"/>
  <c r="J519" i="1"/>
  <c r="K519" i="1" s="1"/>
  <c r="J520" i="1"/>
  <c r="J521" i="1"/>
  <c r="J522" i="1"/>
  <c r="K522" i="1" s="1"/>
  <c r="J523" i="1"/>
  <c r="J524" i="1"/>
  <c r="J525" i="1"/>
  <c r="K525" i="1" s="1"/>
  <c r="J526" i="1"/>
  <c r="J527" i="1"/>
  <c r="K527" i="1" s="1"/>
  <c r="J528" i="1"/>
  <c r="J529" i="1"/>
  <c r="K529" i="1" s="1"/>
  <c r="J530" i="1"/>
  <c r="J531" i="1"/>
  <c r="K531" i="1" s="1"/>
  <c r="J532" i="1"/>
  <c r="J533" i="1"/>
  <c r="K533" i="1" s="1"/>
  <c r="J534" i="1"/>
  <c r="K534" i="1" s="1"/>
  <c r="J535" i="1"/>
  <c r="K535" i="1" s="1"/>
  <c r="J536" i="1"/>
  <c r="J537" i="1"/>
  <c r="J538" i="1"/>
  <c r="K538" i="1" s="1"/>
  <c r="J539" i="1"/>
  <c r="J540" i="1"/>
  <c r="K540" i="1" s="1"/>
  <c r="J541" i="1"/>
  <c r="J542" i="1"/>
  <c r="J543" i="1"/>
  <c r="J544" i="1"/>
  <c r="J545" i="1"/>
  <c r="J546" i="1"/>
  <c r="J547" i="1"/>
  <c r="J548" i="1"/>
  <c r="K548" i="1" s="1"/>
  <c r="J549" i="1"/>
  <c r="J550" i="1"/>
  <c r="J551" i="1"/>
  <c r="J552" i="1"/>
  <c r="K552" i="1" s="1"/>
  <c r="J553" i="1"/>
  <c r="J554" i="1"/>
  <c r="J555" i="1"/>
  <c r="K555" i="1" s="1"/>
  <c r="J556" i="1"/>
  <c r="J557" i="1"/>
  <c r="J558" i="1"/>
  <c r="J559" i="1"/>
  <c r="K559" i="1" s="1"/>
  <c r="J560" i="1"/>
  <c r="J561" i="1"/>
  <c r="J562" i="1"/>
  <c r="K562" i="1" s="1"/>
  <c r="J563" i="1"/>
  <c r="J564" i="1"/>
  <c r="J565" i="1"/>
  <c r="K565" i="1" s="1"/>
  <c r="J566" i="1"/>
  <c r="J567" i="1"/>
  <c r="J568" i="1"/>
  <c r="J569" i="1"/>
  <c r="J570" i="1"/>
  <c r="J571" i="1"/>
  <c r="K571" i="1" s="1"/>
  <c r="J572" i="1"/>
  <c r="K572" i="1" s="1"/>
  <c r="J573" i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J580" i="1"/>
  <c r="J581" i="1"/>
  <c r="J582" i="1"/>
  <c r="K582" i="1" s="1"/>
  <c r="J583" i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J590" i="1"/>
  <c r="J591" i="1"/>
  <c r="J592" i="1"/>
  <c r="J593" i="1"/>
  <c r="K593" i="1" s="1"/>
  <c r="J594" i="1"/>
  <c r="K594" i="1" s="1"/>
  <c r="J595" i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J602" i="1"/>
  <c r="K602" i="1" s="1"/>
  <c r="J603" i="1"/>
  <c r="J604" i="1"/>
  <c r="J605" i="1"/>
  <c r="J606" i="1"/>
  <c r="K606" i="1" s="1"/>
  <c r="J607" i="1"/>
  <c r="K607" i="1" s="1"/>
  <c r="J608" i="1"/>
  <c r="J609" i="1"/>
  <c r="K609" i="1" s="1"/>
  <c r="J610" i="1"/>
  <c r="K610" i="1" s="1"/>
  <c r="J611" i="1"/>
  <c r="J612" i="1"/>
  <c r="K612" i="1" s="1"/>
  <c r="J613" i="1"/>
  <c r="K613" i="1" s="1"/>
  <c r="J614" i="1"/>
  <c r="K614" i="1" s="1"/>
  <c r="J615" i="1"/>
  <c r="J616" i="1"/>
  <c r="J617" i="1"/>
  <c r="J618" i="1"/>
  <c r="K618" i="1" s="1"/>
  <c r="J619" i="1"/>
  <c r="K619" i="1" s="1"/>
  <c r="J620" i="1"/>
  <c r="K620" i="1" s="1"/>
  <c r="J621" i="1"/>
  <c r="K621" i="1" s="1"/>
  <c r="J622" i="1"/>
  <c r="J623" i="1"/>
  <c r="J624" i="1"/>
  <c r="K624" i="1" s="1"/>
  <c r="J625" i="1"/>
  <c r="J626" i="1"/>
  <c r="J627" i="1"/>
  <c r="K627" i="1" s="1"/>
  <c r="J628" i="1"/>
  <c r="K628" i="1" s="1"/>
  <c r="J629" i="1"/>
  <c r="J630" i="1"/>
  <c r="J631" i="1"/>
  <c r="K631" i="1" s="1"/>
  <c r="J632" i="1"/>
  <c r="J633" i="1"/>
  <c r="K633" i="1" s="1"/>
  <c r="J634" i="1"/>
  <c r="K634" i="1" s="1"/>
  <c r="J635" i="1"/>
  <c r="J636" i="1"/>
  <c r="K636" i="1" s="1"/>
  <c r="J637" i="1"/>
  <c r="K637" i="1" s="1"/>
  <c r="J638" i="1"/>
  <c r="J639" i="1"/>
  <c r="K639" i="1" s="1"/>
  <c r="J640" i="1"/>
  <c r="K640" i="1" s="1"/>
  <c r="J641" i="1"/>
  <c r="K641" i="1" s="1"/>
  <c r="J642" i="1"/>
  <c r="J643" i="1"/>
  <c r="J644" i="1"/>
  <c r="J645" i="1"/>
  <c r="J646" i="1"/>
  <c r="J647" i="1"/>
  <c r="J648" i="1"/>
  <c r="J649" i="1"/>
  <c r="K649" i="1" s="1"/>
  <c r="J650" i="1"/>
  <c r="J651" i="1"/>
  <c r="J652" i="1"/>
  <c r="K652" i="1" s="1"/>
  <c r="J653" i="1"/>
  <c r="K653" i="1" s="1"/>
  <c r="J654" i="1"/>
  <c r="K654" i="1" s="1"/>
  <c r="J655" i="1"/>
  <c r="J656" i="1"/>
  <c r="K656" i="1" s="1"/>
  <c r="J657" i="1"/>
  <c r="J658" i="1"/>
  <c r="J659" i="1"/>
  <c r="J660" i="1"/>
  <c r="J661" i="1"/>
  <c r="K661" i="1" s="1"/>
  <c r="J662" i="1"/>
  <c r="J663" i="1"/>
  <c r="J664" i="1"/>
  <c r="J665" i="1"/>
  <c r="J666" i="1"/>
  <c r="J667" i="1"/>
  <c r="K667" i="1" s="1"/>
  <c r="J668" i="1"/>
  <c r="J669" i="1"/>
  <c r="J670" i="1"/>
  <c r="J671" i="1"/>
  <c r="J672" i="1"/>
  <c r="K672" i="1" s="1"/>
  <c r="J673" i="1"/>
  <c r="J674" i="1"/>
  <c r="K674" i="1" s="1"/>
  <c r="J675" i="1"/>
  <c r="K675" i="1" s="1"/>
  <c r="J676" i="1"/>
  <c r="J677" i="1"/>
  <c r="K677" i="1" s="1"/>
  <c r="J678" i="1"/>
  <c r="J679" i="1"/>
  <c r="K679" i="1" s="1"/>
  <c r="J680" i="1"/>
  <c r="K680" i="1" s="1"/>
  <c r="J681" i="1"/>
  <c r="K681" i="1" s="1"/>
  <c r="J682" i="1"/>
  <c r="J683" i="1"/>
  <c r="K683" i="1" s="1"/>
  <c r="J684" i="1"/>
  <c r="K684" i="1" s="1"/>
  <c r="J685" i="1"/>
  <c r="K685" i="1" s="1"/>
  <c r="J686" i="1"/>
  <c r="J687" i="1"/>
  <c r="K687" i="1" s="1"/>
  <c r="J688" i="1"/>
  <c r="J689" i="1"/>
  <c r="J690" i="1"/>
  <c r="J691" i="1"/>
  <c r="J692" i="1"/>
  <c r="J693" i="1"/>
  <c r="K693" i="1" s="1"/>
  <c r="J694" i="1"/>
  <c r="K694" i="1" s="1"/>
  <c r="J695" i="1"/>
  <c r="K695" i="1" s="1"/>
  <c r="J696" i="1"/>
  <c r="K696" i="1" s="1"/>
  <c r="J697" i="1"/>
  <c r="J698" i="1"/>
  <c r="J699" i="1"/>
  <c r="K699" i="1" s="1"/>
  <c r="J700" i="1"/>
  <c r="J701" i="1"/>
  <c r="J702" i="1"/>
  <c r="J703" i="1"/>
  <c r="J704" i="1"/>
  <c r="J705" i="1"/>
  <c r="K705" i="1" s="1"/>
  <c r="J706" i="1"/>
  <c r="J707" i="1"/>
  <c r="J708" i="1"/>
  <c r="K708" i="1" s="1"/>
  <c r="J709" i="1"/>
  <c r="K709" i="1" s="1"/>
  <c r="J710" i="1"/>
  <c r="J711" i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J722" i="1"/>
  <c r="K722" i="1" s="1"/>
  <c r="J723" i="1"/>
  <c r="J724" i="1"/>
  <c r="K724" i="1" s="1"/>
  <c r="J725" i="1"/>
  <c r="J726" i="1"/>
  <c r="J727" i="1"/>
  <c r="J728" i="1"/>
  <c r="J729" i="1"/>
  <c r="J730" i="1"/>
  <c r="K730" i="1" s="1"/>
  <c r="J731" i="1"/>
  <c r="J732" i="1"/>
  <c r="J733" i="1"/>
  <c r="J734" i="1"/>
  <c r="K734" i="1" s="1"/>
  <c r="J735" i="1"/>
  <c r="K735" i="1" s="1"/>
  <c r="J736" i="1"/>
  <c r="J737" i="1"/>
  <c r="J738" i="1"/>
  <c r="J739" i="1"/>
  <c r="K739" i="1" s="1"/>
  <c r="J740" i="1"/>
  <c r="J741" i="1"/>
  <c r="J742" i="1"/>
  <c r="J743" i="1"/>
  <c r="J744" i="1"/>
  <c r="J745" i="1"/>
  <c r="K745" i="1" s="1"/>
  <c r="J746" i="1"/>
  <c r="K746" i="1" s="1"/>
  <c r="J747" i="1"/>
  <c r="J748" i="1"/>
  <c r="K748" i="1" s="1"/>
  <c r="J749" i="1"/>
  <c r="K749" i="1" s="1"/>
  <c r="J750" i="1"/>
  <c r="K750" i="1" s="1"/>
  <c r="J751" i="1"/>
  <c r="J752" i="1"/>
  <c r="K752" i="1" s="1"/>
  <c r="J753" i="1"/>
  <c r="J754" i="1"/>
  <c r="K754" i="1" s="1"/>
  <c r="J755" i="1"/>
  <c r="K755" i="1" s="1"/>
  <c r="J756" i="1"/>
  <c r="K756" i="1" s="1"/>
  <c r="J757" i="1"/>
  <c r="J758" i="1"/>
  <c r="K758" i="1" s="1"/>
  <c r="J759" i="1"/>
  <c r="J760" i="1"/>
  <c r="K760" i="1" s="1"/>
  <c r="J761" i="1"/>
  <c r="J762" i="1"/>
  <c r="J763" i="1"/>
  <c r="K763" i="1" s="1"/>
  <c r="J764" i="1"/>
  <c r="K764" i="1" s="1"/>
  <c r="J765" i="1"/>
  <c r="J766" i="1"/>
  <c r="J767" i="1"/>
  <c r="J768" i="1"/>
  <c r="J769" i="1"/>
  <c r="J770" i="1"/>
  <c r="J771" i="1"/>
  <c r="J772" i="1"/>
  <c r="J773" i="1"/>
  <c r="J774" i="1"/>
  <c r="J775" i="1"/>
  <c r="K775" i="1" s="1"/>
  <c r="J776" i="1"/>
  <c r="J777" i="1"/>
  <c r="J778" i="1"/>
  <c r="J779" i="1"/>
  <c r="J780" i="1"/>
  <c r="K780" i="1" s="1"/>
  <c r="J781" i="1"/>
  <c r="K781" i="1" s="1"/>
  <c r="J782" i="1"/>
  <c r="K782" i="1" s="1"/>
  <c r="J783" i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J803" i="1"/>
  <c r="J804" i="1"/>
  <c r="K804" i="1" s="1"/>
  <c r="J805" i="1"/>
  <c r="K805" i="1" s="1"/>
  <c r="J806" i="1"/>
  <c r="J807" i="1"/>
  <c r="K807" i="1" s="1"/>
  <c r="J808" i="1"/>
  <c r="J809" i="1"/>
  <c r="K809" i="1" s="1"/>
  <c r="J810" i="1"/>
  <c r="J811" i="1"/>
  <c r="K811" i="1" s="1"/>
  <c r="J812" i="1"/>
  <c r="K812" i="1" s="1"/>
  <c r="J813" i="1"/>
  <c r="J814" i="1"/>
  <c r="K814" i="1" s="1"/>
  <c r="J815" i="1"/>
  <c r="K815" i="1" s="1"/>
  <c r="J816" i="1"/>
  <c r="J817" i="1"/>
  <c r="K817" i="1" s="1"/>
  <c r="J818" i="1"/>
  <c r="K818" i="1" s="1"/>
  <c r="J819" i="1"/>
  <c r="K819" i="1" s="1"/>
  <c r="J820" i="1"/>
  <c r="K820" i="1" s="1"/>
  <c r="J821" i="1"/>
  <c r="J822" i="1"/>
  <c r="J823" i="1"/>
  <c r="K823" i="1" s="1"/>
  <c r="J824" i="1"/>
  <c r="J825" i="1"/>
  <c r="J826" i="1"/>
  <c r="J827" i="1"/>
  <c r="J828" i="1"/>
  <c r="J829" i="1"/>
  <c r="J830" i="1"/>
  <c r="K830" i="1" s="1"/>
  <c r="J831" i="1"/>
  <c r="K831" i="1" s="1"/>
  <c r="J832" i="1"/>
  <c r="K832" i="1" s="1"/>
  <c r="J833" i="1"/>
  <c r="J834" i="1"/>
  <c r="J835" i="1"/>
  <c r="K835" i="1" s="1"/>
  <c r="J836" i="1"/>
  <c r="K836" i="1" s="1"/>
  <c r="J837" i="1"/>
  <c r="J838" i="1"/>
  <c r="J839" i="1"/>
  <c r="J840" i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J854" i="1"/>
  <c r="K854" i="1" s="1"/>
  <c r="J855" i="1"/>
  <c r="J856" i="1"/>
  <c r="J857" i="1"/>
  <c r="K857" i="1" s="1"/>
  <c r="J858" i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J865" i="1"/>
  <c r="J866" i="1"/>
  <c r="K866" i="1" s="1"/>
  <c r="J867" i="1"/>
  <c r="J868" i="1"/>
  <c r="J869" i="1"/>
  <c r="J870" i="1"/>
  <c r="K870" i="1" s="1"/>
  <c r="J871" i="1"/>
  <c r="K871" i="1" s="1"/>
  <c r="J872" i="1"/>
  <c r="J873" i="1"/>
  <c r="J874" i="1"/>
  <c r="K874" i="1" s="1"/>
  <c r="J875" i="1"/>
  <c r="K875" i="1" s="1"/>
  <c r="J876" i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J884" i="1"/>
  <c r="J885" i="1"/>
  <c r="K885" i="1" s="1"/>
  <c r="J886" i="1"/>
  <c r="K886" i="1" s="1"/>
  <c r="J887" i="1"/>
  <c r="J888" i="1"/>
  <c r="J889" i="1"/>
  <c r="K889" i="1" s="1"/>
  <c r="J890" i="1"/>
  <c r="J891" i="1"/>
  <c r="J892" i="1"/>
  <c r="J893" i="1"/>
  <c r="J894" i="1"/>
  <c r="J895" i="1"/>
  <c r="K895" i="1" s="1"/>
  <c r="J896" i="1"/>
  <c r="K896" i="1" s="1"/>
  <c r="J897" i="1"/>
  <c r="J898" i="1"/>
  <c r="J899" i="1"/>
  <c r="K899" i="1" s="1"/>
  <c r="J900" i="1"/>
  <c r="J901" i="1"/>
  <c r="J902" i="1"/>
  <c r="K902" i="1" s="1"/>
  <c r="J903" i="1"/>
  <c r="J904" i="1"/>
  <c r="J905" i="1"/>
  <c r="J906" i="1"/>
  <c r="K906" i="1" s="1"/>
  <c r="J907" i="1"/>
  <c r="J908" i="1"/>
  <c r="K908" i="1" s="1"/>
  <c r="J909" i="1"/>
  <c r="J910" i="1"/>
  <c r="K910" i="1" s="1"/>
  <c r="J911" i="1"/>
  <c r="K911" i="1" s="1"/>
  <c r="J912" i="1"/>
  <c r="K912" i="1" s="1"/>
  <c r="J913" i="1"/>
  <c r="J914" i="1"/>
  <c r="K914" i="1" s="1"/>
  <c r="J915" i="1"/>
  <c r="K915" i="1" s="1"/>
  <c r="J916" i="1"/>
  <c r="J917" i="1"/>
  <c r="J918" i="1"/>
  <c r="J919" i="1"/>
  <c r="J920" i="1"/>
  <c r="J921" i="1"/>
  <c r="J922" i="1"/>
  <c r="K922" i="1" s="1"/>
  <c r="J923" i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J930" i="1"/>
  <c r="K930" i="1" s="1"/>
  <c r="J931" i="1"/>
  <c r="K931" i="1" s="1"/>
  <c r="J932" i="1"/>
  <c r="K932" i="1" s="1"/>
  <c r="J933" i="1"/>
  <c r="K933" i="1" s="1"/>
  <c r="J934" i="1"/>
  <c r="J935" i="1"/>
  <c r="K935" i="1" s="1"/>
  <c r="J936" i="1"/>
  <c r="K936" i="1" s="1"/>
  <c r="J937" i="1"/>
  <c r="K937" i="1" s="1"/>
  <c r="J938" i="1"/>
  <c r="J939" i="1"/>
  <c r="K939" i="1" s="1"/>
  <c r="J2" i="1"/>
  <c r="K2" i="1" s="1"/>
  <c r="K941" i="1" l="1"/>
  <c r="K940" i="1"/>
  <c r="K942" i="1" l="1"/>
</calcChain>
</file>

<file path=xl/sharedStrings.xml><?xml version="1.0" encoding="utf-8"?>
<sst xmlns="http://schemas.openxmlformats.org/spreadsheetml/2006/main" count="951" uniqueCount="951">
  <si>
    <t>Product Name</t>
  </si>
  <si>
    <t>November 2025</t>
  </si>
  <si>
    <t>December 2025</t>
  </si>
  <si>
    <t>January 2026</t>
  </si>
  <si>
    <t>February 2026</t>
  </si>
  <si>
    <t>samakhosi stock</t>
  </si>
  <si>
    <t>Chitwan stock</t>
  </si>
  <si>
    <t>Chitwan transfer</t>
  </si>
  <si>
    <t>[1001406] FARMASI ULTIMATE SHINE GLOSS 04 PINK TOURMALINE 8 ML</t>
  </si>
  <si>
    <t>[1001411] FARMASI MATTE LIQUID LIPSTICK 03 SUNSET BREEZE 4 ML</t>
  </si>
  <si>
    <t>[1001418] FARMASI MATTE LIQUID LIPSTICK 10 NUDE ESSENCE</t>
  </si>
  <si>
    <t>[1001519] FARMASI VFX PRO TIME LOCKER FIXING SPRAY 125ML</t>
  </si>
  <si>
    <t>[110184] LISAP VOLUME UP SHAMPOO VOLUMIZZANTE 1000ML</t>
  </si>
  <si>
    <t>[1111497E] WET N WILD ULTIMATE BROW KIT SOFT BROWN- 2.5 GM</t>
  </si>
  <si>
    <t>[1114479E] WET N WILD BARE FOCUS CLARIFYING FINISHING POWDER(FAIR/LIGHT)-6GM</t>
  </si>
  <si>
    <t>[1114528E] WET N WILD HOURGLASS MAKEUP SPONGE</t>
  </si>
  <si>
    <t>[114100] MESAUDA FIX ME UP! MAKE UP FIXER 75ML</t>
  </si>
  <si>
    <t>[1301518] FARMASI DOUBLE LASH EXTEND 2 STEP MASCARA 12 ML</t>
  </si>
  <si>
    <t>[147116] MESAUDA MAKE-UP BLENDER SPONGE</t>
  </si>
  <si>
    <t>[20760] Technic Highlighter Wand</t>
  </si>
  <si>
    <t>[21520] Technic Persuasion Pressed Pigment Palette</t>
  </si>
  <si>
    <t>[21539] Technic Brow FXer Sculpting Gel</t>
  </si>
  <si>
    <t>[21726] Technic Prep Set &amp; Finish Setting Spray</t>
  </si>
  <si>
    <t>[21727] Technic Glow Setter Setting Spray</t>
  </si>
  <si>
    <t>[221N40] MESAUDA PRO LIGHT CONCEALER N40 4ML</t>
  </si>
  <si>
    <t>[221N50] MESAUDA PRO LIGHT CONCEALER N50 4ML</t>
  </si>
  <si>
    <t>[233C35] MESAUDA MAGIC WAND C35 20ML</t>
  </si>
  <si>
    <t>[233C45] MESAUDA MAGIC WAND C45 20ML</t>
  </si>
  <si>
    <t>[235101] MESAUDA OIL FOIL FACE PRIMER 30ML</t>
  </si>
  <si>
    <t>[237104] MESAUDA ARTIST EYES COCOA EYE PENCIL 14 GM</t>
  </si>
  <si>
    <t>[238101] MESAUDA ARTIST LIPS FUDGE LIP LINER 14 GM</t>
  </si>
  <si>
    <t>[239101] MESAUDA REBELEYES SPIDER EYE PENCIL 1.20 GM</t>
  </si>
  <si>
    <t>[242207] MESAUDA CULT MATTE BESTSELLER LIPSTICK 3.5 G</t>
  </si>
  <si>
    <t>[251102] MESAUDA NUDE VENUS LIGHT BEIGE COMPACT 10GM</t>
  </si>
  <si>
    <t>[254202] MESAUDA SUBLIMATTE UNLIMITED MATTE LIPSTICK 5ML</t>
  </si>
  <si>
    <t>[254205] MESAUDA SUBLIMATTE SEDUCTIVE MATTE LIPSTICK 5ML</t>
  </si>
  <si>
    <t>[254206] MESAUDA SUBLIMATTE ABSOLUTE MATTE LIPSTICK 5ML</t>
  </si>
  <si>
    <t>[256101] MESAUDA FEMULINE MASCARA</t>
  </si>
  <si>
    <t>[25704] Technic Soft Focus Transparent Loose Powder</t>
  </si>
  <si>
    <t>[258102] MESAUDA SKIN MATE ALWAYS LAUGHING BLUSH  18ML</t>
  </si>
  <si>
    <t>[28529] Technic x24 Makeup Pressed Pigment Palette</t>
  </si>
  <si>
    <t>[28714] Technic Mega Glow</t>
  </si>
  <si>
    <t>[29546] Technic Intoxicate Mascara</t>
  </si>
  <si>
    <t>[29548] Technic Goddess Pressed Pigment Palette</t>
  </si>
  <si>
    <t>[29740] Technic Vitamin C Brightening Primer</t>
  </si>
  <si>
    <t>[29741] Technic Vitamin C Translucent Finishing Powder</t>
  </si>
  <si>
    <t>[3606000537514] CERAVE DAILY MOISTURIZING LOTION (3OZ - 87ML) (USA)</t>
  </si>
  <si>
    <t>[3606000537552] CERAVE RENEWING SA CLEANSER - 237 ML (USA)</t>
  </si>
  <si>
    <t>[3606000537576] CERAVE HYDRATING FACIAL CLEANSER (3OZ - 87ML) (USA)</t>
  </si>
  <si>
    <t>[3606000537668] CERAVE MOISTURIZING CREAM | 16 OZ | 453G (USA)</t>
  </si>
  <si>
    <t>[3606000560994] Cerave Renewing SA Cleanser (16oz - 473ml) (USA)</t>
  </si>
  <si>
    <t>[3701365712627] NOTE MATTEMOIST LIPSTICK (302 MIRAG)</t>
  </si>
  <si>
    <t>[3701365722435] NOTE PRECISION EYELINER 1ML</t>
  </si>
  <si>
    <t>[3701365722671] NOTE REAL LOOK MASCARA</t>
  </si>
  <si>
    <t>[3701365753361] NOTE LUMINOUS SILK COMPACT POWDER (198)</t>
  </si>
  <si>
    <t>[3701365753385] NOTE LUMINOUS SILK COMPACT POWDER (197)</t>
  </si>
  <si>
    <t>[3701365757185] NOTE VOLUME ONE TOUCH MASCARA</t>
  </si>
  <si>
    <t>[3701365765159] NOTE CONCEAL AND PROTECT LIQUID CONCEALER-4.5ML (10)</t>
  </si>
  <si>
    <t>[3701365769904] NOTE LOOSE POWDER - 14G (01)</t>
  </si>
  <si>
    <t>[3701365782811] NOTE LUMINOUS MOISTURIZING FOUNDATION- 30ML (102)</t>
  </si>
  <si>
    <t>[3701365782880] NOTE LUMINOUS MOISTURIZING FOUNDATION- 30ML ( 04)</t>
  </si>
  <si>
    <t>[3701365782897] NOTE LUMINOUS MOISTURIZING FOUNDATION- 30ML (03)</t>
  </si>
  <si>
    <t>[3701365791851] NOTE MATTE QUEEN LIQUID LIPSTICK- 4ML (07)</t>
  </si>
  <si>
    <t>[3760237854087] NOTE LUMINOUS SILK COMPACT POWDER (02 NATURAL BEIGE)</t>
  </si>
  <si>
    <t>[3760237854391] NOTE MINERAL POWDER-10G (01)</t>
  </si>
  <si>
    <t>[3760237855794] NOTE ULTRA BLACK DIPLINER</t>
  </si>
  <si>
    <t>[3760407191233] NOTE MINERAL MATTE LIP CREAM-12ML (07)</t>
  </si>
  <si>
    <t>[4005808135028] NIVEA SHOWER GEL LEMON &amp; OIL 250ML</t>
  </si>
  <si>
    <t>[4005808298334] NIVEA DEO ROLL ON DRY MALE 50ML</t>
  </si>
  <si>
    <t>[4005808372904] NIVEA LIPCARE STRAWBERRY 4.8GM</t>
  </si>
  <si>
    <t>[4005808649891] NIVEA SHOWER GEL POWERFRUIT FRESH 250ML</t>
  </si>
  <si>
    <t>[4005808837359] NIVEA DEO ROLL ON PEARL &amp; BEAUTY 50ML</t>
  </si>
  <si>
    <t>[4005808837540] NIVEA DEO ROLL ON FRESH ENERGY 50ML</t>
  </si>
  <si>
    <t>[4005808888368] NIVEA MEN EXTRA WHITE FOAM 100ML</t>
  </si>
  <si>
    <t>[4005900087843] NIVEA DEO SPRAY PEARL &amp; BEAUTY 150ML</t>
  </si>
  <si>
    <t>[4005900088505] NIVEA DEO SPRAY FRESH MALE 150ML</t>
  </si>
  <si>
    <t>[4005900408389] NIVEA DEO ROLL ON PROTECT &amp; CARE 50ML</t>
  </si>
  <si>
    <t>[4005900438935] NIVEA EXTRA WHITE FIRMING LOTION 125ML</t>
  </si>
  <si>
    <t>[4005900929242] NIVEA LIPCARE CHERRY 4.8GM</t>
  </si>
  <si>
    <t>[42059226] NIVEA DEO ROLL ON FRESH FEMALE 50ML</t>
  </si>
  <si>
    <t>[50913W] MESAUDA CHRONO FLAWLESS FOUNDATION 13W 30ML</t>
  </si>
  <si>
    <t>[510102] MESAUDA FLUSH OF BLUSH PEACH DELIGHT LIQUID   8ML</t>
  </si>
  <si>
    <t>[510102] MESAUDA FLUSH OF BLUSH PETAL PINK LIQUID   8ML</t>
  </si>
  <si>
    <t>[511102] MESAUDA FLUSH OF LIGHT GOLDEN HOUR HIGHLIGHTER  8ML</t>
  </si>
  <si>
    <t>[769915190250] THE ORDINARY ALPHA ARBUTIN 2% + HA 30ML</t>
  </si>
  <si>
    <t>[769915190977] THE ORDINARY GLYCOLIC ACID 7% TONIC SOLUTION 240ML</t>
  </si>
  <si>
    <t>[769915194012] THE ORDINARY RETINOL 0.5% IN SQUALANE 30ML</t>
  </si>
  <si>
    <t>[76991519495] THE ORDINARY NIACINAMIDE 10% +ZINC 1% (60 ML)</t>
  </si>
  <si>
    <t>[815266012595] BOSLEYMD BOSDEFENSE COLOR SAFE 30 DAY KIT</t>
  </si>
  <si>
    <t>[85066] NIVEA LIPCARE SOFT ROSE 4.8G</t>
  </si>
  <si>
    <t>[8682536053693] FLORMAR WET &amp; DRY COMPACT POWDER-005 MEDIUM CARAMEL</t>
  </si>
  <si>
    <t>[8682536059633] FLORMAR SKIN LIFTING FOUNDATION-060 GOLDEN NEUTRAL</t>
  </si>
  <si>
    <t>[8901526103430] L'OREAL PARIS EXTRAORDINARY OIL NOURISHING SHAMPOO- 650ML</t>
  </si>
  <si>
    <t>[8901526592500] L'OREAL PARIS DREAM LENGTHS SHAMPOO, 650 ML</t>
  </si>
  <si>
    <t>[8901526603404] L'OREAL PARIS HYALURON MOISTURE 72H SEALING CONDITIONER 175 ML</t>
  </si>
  <si>
    <t>[8901531300176] BOROLINE ANTISEPTIC AYURVEDIC CREAM 20G TUBE</t>
  </si>
  <si>
    <t>[8904035425536] DOT &amp; KEY VITAMIN C MOISTURIZER- 60 ML</t>
  </si>
  <si>
    <t>[8904417300246] THE DERMA CO HYALURONIC INVISIBLE SUNSCREEN GEL 50G</t>
  </si>
  <si>
    <t>[8904417300598] THE DERMA CO HYALURONIC SUNSCREEN STICK 20GM</t>
  </si>
  <si>
    <t>[8904417301076] THE DERMA CO 1% SALICYLIC ACID FOAMING DAILY FACE WASH 100ML</t>
  </si>
  <si>
    <t>[8904417303131] THE DERMA CO PORE MINIMIZING PRIMING SUNSCREEN 50GM</t>
  </si>
  <si>
    <t>[8904417303308] MAMAEARTH NOURISHING TINTED NATURAL LIP BALM - VIT E &amp; STRAWBERRY</t>
  </si>
  <si>
    <t>[8904417306163] THE DERMA CO C-CINAMIDE RADIANCE SUNSCREEN AQUA GEL 50G</t>
  </si>
  <si>
    <t>[8904417306217] THE DERMA CO 1% HYALURONIC TINTED SUNSCREEN GEL,30GM</t>
  </si>
  <si>
    <t>[8904417306224] AQUALOGICA GLOW+ SUNSCREEN 80G</t>
  </si>
  <si>
    <t>[8904417306231] THE DERMA CO 1% HYALURONIC SUNSCREEN AQUA GEL 80G</t>
  </si>
  <si>
    <t>[8904417306248] THE DERMA CO. 1% KOJIC ACID DAILY FACE WASH- 100ML</t>
  </si>
  <si>
    <t>[8904417306255] AQUALOGICA DETAN + DEWY SUNSCREEN 50GM</t>
  </si>
  <si>
    <t>[8904417306576] THE DERMA CO 2% SALI-CINAMIDE ANTI-ACNE FACE WASH 80ML</t>
  </si>
  <si>
    <t>[8904417307139] THE DERMA CO. 2% KOJIC ACID FACE SERUM- 10 ML</t>
  </si>
  <si>
    <t>[8904417307146] THE DERMA CO 2% SALICYLIC ACID FACE SERUM- 10 ML</t>
  </si>
  <si>
    <t>[8904417307481] AQUALOGICA ILLUMINATE+ OIL-FREE MOISTURIZER- 100G</t>
  </si>
  <si>
    <t>[8904417307764] MAMAEARTH ROSEMARY HAIR GROWTH OIL- 150ML</t>
  </si>
  <si>
    <t>[8904417308501] THE DERMA CO 1% KOJIC ACID LIP BALM- 4G</t>
  </si>
  <si>
    <t>[8904417308570] AQUALOGICA RADIANCE+ DEWY SUNSCREEN 80G</t>
  </si>
  <si>
    <t>[8904417308587] AQUALOGICA DETAN+ DEWY SUNSCREEN 80G</t>
  </si>
  <si>
    <t>[8904417309171] THE DERMA CO 2% NIACINAMIDE GENTLE SKIN CLEANSER- 125 ML</t>
  </si>
  <si>
    <t>[8904417309188] THE DERMA CO 2% NIACINAMIDE OILY SKIN CLEANSER- 125 ML</t>
  </si>
  <si>
    <t>[8904417310221] THE DERMA CO 4% UREA DEEP MOISTURIZING CREAM - 100GM</t>
  </si>
  <si>
    <t>[8904417311327] THE DERMA CO 4% CERAMIDE BARRIER REPAIR MOISTURIZER- 50 GM</t>
  </si>
  <si>
    <t>[8904417311549] MAMAEARTH BEETROOT GENTLE FACE WASH 100 ML</t>
  </si>
  <si>
    <t>[8904417311600] THE DERMA CO 7% GLYCOLIC ACID HYDRATING TONER - 150ML</t>
  </si>
  <si>
    <t>[8904417311754] THE DERMA CO HYALURONIC SUNSCREEN COMPACT- 7 GM</t>
  </si>
  <si>
    <t>[8904417312133] MAMAEARTH BEETROOT HYDRAFUL MOISTURIZER 50 ML</t>
  </si>
  <si>
    <t>[8904417312751] AQUALOGICA DETAN+ DEWY SUNSCREEN SPRAY 100ML</t>
  </si>
  <si>
    <t>[8904417312867] MAMAEARTH BEETROOT HYDRAFUL SUNSCREEN- 50GM</t>
  </si>
  <si>
    <t>[8904417313192] AQUALOGICA REFRESH+ BODY MIST-DEWY FLORAL KISS- 150 ML</t>
  </si>
  <si>
    <t>[8904417313253] AQUALOGICA REFRESH+ BODY MIST- SWEET SUMMER KISS- 150 ML</t>
  </si>
  <si>
    <t>[8904417313420] MAMAEARTH RICE WATER DEWY SUNSCREEN 50 G</t>
  </si>
  <si>
    <t>[8904417314007] AQUALOGICA GLOW + HYDRA GEL MOISTURIZER 200GM</t>
  </si>
  <si>
    <t>[8904417314014] AQUALOGICA ILLUMINATE+ HYDRA GEL MOISTURIZER - 200G</t>
  </si>
  <si>
    <t>[8904417314021] AQUALOGICA 5 BARRIER + HYDRA GEL MOISTURIZER 200GM</t>
  </si>
  <si>
    <t>[8904417316926] THE DERMA CO 5% NIA-CERAMIDE MATTIFYING MOISTURIZER- 100 GM</t>
  </si>
  <si>
    <t>[8904417316933] THE DERMA CO 5% NIA-CERAMIDE DAILY HYDRATING MOISTURIZER- 100 GM</t>
  </si>
  <si>
    <t>[8904417318586] MAMAEARTH VIT C MOISTURE THERAPY LIP BALM 15 G</t>
  </si>
  <si>
    <t>[8904417319507] MAMAEARTH CHIA CALMING MOISTURIZER 80 G</t>
  </si>
  <si>
    <t>[8904417319545] THE DERMA CO 1% HYALURONIC SUNSCREEN HYDRATING GEL - 50G</t>
  </si>
  <si>
    <t>[8.90442E+12-0] MAMAEARTH RICE WATER HYDRATING BODY LOTION-400ML</t>
  </si>
  <si>
    <t>[8.90442E+12-2] MAMAEARTH ROSEMARY WATER SPRAY-200ML</t>
  </si>
  <si>
    <t>[8904482500022] PILGRIM BLUSH DUO BERRY BEAT</t>
  </si>
  <si>
    <t>[8904482500077] PILGRIM BULLET LIPSTICK MOCHA BLISS-4.2 GM</t>
  </si>
  <si>
    <t>[8904482500091] PILGRIM BULLET LIPSTICK COCO CARESS 4.2 GM</t>
  </si>
  <si>
    <t>[8904482500107] PILGRIM BULLET LIPSTICK 11 PINK PASSION-30 GM</t>
  </si>
  <si>
    <t>[8904482500114]  PILGRIM BULLET LIPSTICK PINK HOTNESS-30 GM</t>
  </si>
  <si>
    <t>[8904482500138]  PILGRIM BULLET LIPSTICK PINK ROMANCE-30 GM</t>
  </si>
  <si>
    <t>[8904482500169] PILGRIM BULLET LIPSTICK MAROON AFFAIR - 4.2G</t>
  </si>
  <si>
    <t>[8904482500183] PILGRIM BULLET LIPSTICK RUBY REVOLT-4.2 GM</t>
  </si>
  <si>
    <t>[8904482500206] PILGRIM BULLET LIPSTICK NUDE KISS-4.2 GM</t>
  </si>
  <si>
    <t>[8904482500213] PILGRIM BULLET LIPSTICK CHOCOLATE TEASE - 4.2G</t>
  </si>
  <si>
    <t>[8904482500220] PILGRIM BULLET LIPSTICK CINNAMON LUST - 4.2G</t>
  </si>
  <si>
    <t>[8904482501173] PILGRIM MEGA CURL TUBING MASCARA - 5ML</t>
  </si>
  <si>
    <t>[8904482501340] PILGRIM 5 CERAMIDES BARRIER REPAIR MOISTURIZER - 100G</t>
  </si>
  <si>
    <t>[8904482501548] PILGRIM FRENCH RED VINE &amp; HA ULTRA-SMOOTH BODY LOTION - 400ML</t>
  </si>
  <si>
    <t>[8904482501555] PILGRIM SPANISH SQUALANE &amp; NIACINAMIDE GLOW BODY LOTION - 400ML</t>
  </si>
  <si>
    <t>[8904482501807] PILGRIM 5% NIACINAMIDE OIL-FREE LIGHT GEL SUNSCREENSPF 50+ PA++++</t>
  </si>
  <si>
    <t>[8904482501814] PILGRIM 5% VIT C BRIGHTENING LIGHT GEL SUNSCREEN SPF 50 PA++++</t>
  </si>
  <si>
    <t>[8904482504136] PILGRIM KOREAN RICE WATER HYDRA GLOW GEL FACEWASH -100ML</t>
  </si>
  <si>
    <t>[8904482504143] PILGRIM VITAMIN C TINTED STRAWBERRY GLOSS LIP BALM SPF50 PA++++ -4.5GM</t>
  </si>
  <si>
    <t>[8906087770121] MAMAEARTH MINERAL BASED SUNSCREEN FOR BABIES100ML</t>
  </si>
  <si>
    <t>[8906087770640] MAMAEARTH ANTI MOSQUITO PATCH PRINTED -PACK OF 24</t>
  </si>
  <si>
    <t>[8906087771982] MAMAEARTH BYE BYE DARK CIRCLES EYE CREAM - 20GM</t>
  </si>
  <si>
    <t>[8906087772040] THE DERMA CO 10% NIACINAMIDE SERUM, 30ML</t>
  </si>
  <si>
    <t>[8906087772057] THE DERMA CO 20% VITAMIN C SERUM, 20ML</t>
  </si>
  <si>
    <t>[8906087772071] THE DERMA CO CERAMIDE + HA INTENSE MOISTURIZER, 50GM</t>
  </si>
  <si>
    <t>[8906087772187] MAMAEARTH ONION SHAMPOO FOR HAIR GROWTH AND HAIR FALL CONTROL WITH ONION OIL AND PLANT KERATIN 400ML</t>
  </si>
  <si>
    <t>[8906087772859] MAMAEARTH VITAMIN C FACE WASH WITH VITAMIN C &amp; TUMERIC - 100 ML</t>
  </si>
  <si>
    <t>[8906087773740] THE DERMA CO 0.3% RETINOL FACE SERUM, 30ML</t>
  </si>
  <si>
    <t>[8906087773849] THE DERMA CO 2% SALICYLIC ACID FACE SERUM- 30ml</t>
  </si>
  <si>
    <t>[8906087774204] MAMAEARTH NIACIN FACE TONER 200ML</t>
  </si>
  <si>
    <t>[8906087774495] THE DERMA CO 2% SALICYLIC CLAY MASK 50G</t>
  </si>
  <si>
    <t>[8906087774624] THE DERMA CO 2% ALPHA ARBUTIN FACE SERUM, 30ML</t>
  </si>
  <si>
    <t>[8906087775058] THE DERMA CO 10% NIACINAMIDE SERUM, 10ML</t>
  </si>
  <si>
    <t>[8906087775539] MAMAEARTH AQUA GLOW FACE WASH-100ML</t>
  </si>
  <si>
    <t>[8906087775546] MAMAEARTH TEA TREE OIL-FREE FACE MOISTURIZER, 80G</t>
  </si>
  <si>
    <t>[8906087775607] THE DERMA CO. 10% VITAMIN C FACE SERUM, 30ML</t>
  </si>
  <si>
    <t>[8906087775645] THE DERMA CO 1% SALICYLIC ACID GEL FACE WASH 100ML</t>
  </si>
  <si>
    <t>[8906087775713] THE DERMA CO. 1% HYALURONIC SUNSCREEN AQUA GEL, 50GM</t>
  </si>
  <si>
    <t>[8906087776000] MAMAEARTH AQUA GLOW GEL FACE MOISTURIZER - 100 ML</t>
  </si>
  <si>
    <t>[8906087776024] THE DERMA CO. 1% SALICYLIC ACID OIL-FREE FACE MOISTURIZER 50G</t>
  </si>
  <si>
    <t>[8906087776093] THE DERMA CO. 3% VITAMIN E FACE MOISTURIZER 100G</t>
  </si>
  <si>
    <t>[8906087776413] MAMAEARTH AQUA GLOW HYDRATING SUNSCREEN GEL - 50 GM</t>
  </si>
  <si>
    <t>[8906087776604] THE DERMA CO. 2% KOJIC ACID FACE SERUM-30ML (30 ML)</t>
  </si>
  <si>
    <t>[8906087776758] MAMAEARTH CHARCOAL BLACK LONG STAY KAJAL</t>
  </si>
  <si>
    <t>[8906087778042] THE DERMA CO PORE MINIMIZING FACE SERUM 30ML</t>
  </si>
  <si>
    <t>[8906087778363] THE DERMA CO 1% HYALURONIC TINTED SUNSCREEN GEL 50G</t>
  </si>
  <si>
    <t>[8906087778462] AQUALOGICA GLOW+ SUNSCREEN 50G</t>
  </si>
  <si>
    <t>[8906087778561] THE DERMA CO 5% CICA-GLOW DAILY FACE MOISTURIZER</t>
  </si>
  <si>
    <t>[8906087778677] THE DERMA CO 5% NIACINAMIDE DAILY FACE SERUM 30ML</t>
  </si>
  <si>
    <t>[8906087778684] THE DERMA CO 5% VITAMIN C DAILY FACE SERUM 30ML</t>
  </si>
  <si>
    <t>[8906087779032] MAMAEARTH RICE FACE WASH WITH RICE WATER &amp; NIACINAMIDE 100ML</t>
  </si>
  <si>
    <t>[8906087779353] MAMAEARTH RICE GEL FACE MOISTURIZER 100ML</t>
  </si>
  <si>
    <t>[8906087779377] AQUALOGICA RADIANCE+ FACE WASH 100ML</t>
  </si>
  <si>
    <t>[8906087779407] AQUALOGICA RADIANCE+ DEWY SUNSCREEN 50G</t>
  </si>
  <si>
    <t>[8906120580038] PILGRIM WHITE LOTUS NATURAL FACE MIST &amp; TONER- 100ML</t>
  </si>
  <si>
    <t>[8906120580106] PILGRIM ARGAN OIL HAIR SERUM - 100ML</t>
  </si>
  <si>
    <t>[8906120580526] PILGRIM RETINOL UNDER EYE CREAM WITH HYALURONIC ACID- 30G</t>
  </si>
  <si>
    <t>[8906120581370] PILGRIM 2% ALPHA ARBUTIN BRIGHTENING SERUM- 30ML</t>
  </si>
  <si>
    <t>[8906120581509] PILGRIM REDENSYL &amp; ANAGAIN ADVANCED HAIR GROWTH SERUM - 50ML</t>
  </si>
  <si>
    <t>[8906120583923] PILGRIM SQUALANE GLOW MOISTURIZER- 50G</t>
  </si>
  <si>
    <t>[8906120583954] PILGRIM ROLL ON UNDER EYE SERUM - 15 ML</t>
  </si>
  <si>
    <t>[8906120585408] PILGRIM AUSTRALIAN TEA TREE PURIFYING GEL FACE WASH- 100ML</t>
  </si>
  <si>
    <t>[8906120585415] PILGRIM TEA TREE PURIFYING TONER- 100ML</t>
  </si>
  <si>
    <t>[8906120587747] PILGRIM BB CREAM BEIGE GLOW-30 ML</t>
  </si>
  <si>
    <t>[8906120587754] PILGRIM GLOW PRIMER-30 ML</t>
  </si>
  <si>
    <t>[8906120587761] PILGRIM KAJAL BLACK MISCHIEF-10ML</t>
  </si>
  <si>
    <t>[8906120587792] PILGRIM BB CREAM HONEY GLOW-30 ML</t>
  </si>
  <si>
    <t>[8906120587808] PILGRIM BB CREAM ALMOND GLOW-30 ML</t>
  </si>
  <si>
    <t>[8906120588256] PILGRIM LIQUID LIPSTICK PINK CLIMAX - 3ML</t>
  </si>
  <si>
    <t>[8906120588287] PILGRIM LIQUID LIPSTICK THE RED STILETTO - 3ML</t>
  </si>
  <si>
    <t>[8906120588300] PILGRIM LIQUID LIPSTICK BOSSY BROWN - 3ML</t>
  </si>
  <si>
    <t>[8906120588317] PILGRIM LIQUID LIPSTICK NUDE OBSESSED - 3ML</t>
  </si>
  <si>
    <t>[8906120588447] PILGRIM EYELINER BLACK SCANDAL- 3.5ML</t>
  </si>
  <si>
    <t>[8906120588591] PILGRIM SERUM FOUNDATION CLASSIC NUDE-30 ML</t>
  </si>
  <si>
    <t>[8906120588621] PILGRIM SERUM FOUNDATION GOLDEN BEIGE-30 ML</t>
  </si>
  <si>
    <t>[8906120588652] PILGRIM SERUM FOUNDATION WARM SAND-30 ML</t>
  </si>
  <si>
    <t>[8906120589185] PILGRIM 2% KOJIC ACID SERUM- 30ML</t>
  </si>
  <si>
    <t>[8906120589215] PILGRIM INSTA FIX MAKEUP SETTING SPRAY-60 ML</t>
  </si>
  <si>
    <t>[8906120589543] PILGRIM 1% HYALURONIC ACID AQUA SUNSCREEN GEL SPF 50 PA++++ -50G</t>
  </si>
  <si>
    <t>[8906120589550] PILGRIM 2% NIACINAMIDE GLOW SUNSCREEN SPF 50 PA+++ - 50G</t>
  </si>
  <si>
    <t>[8906120589611] PILGRIM 10% VITAMIN C FACE SERUM-30 ML</t>
  </si>
  <si>
    <t>[8906120589680] PILGRIM 10% NIACINAMIDE FACE SERUM WITH 1% ZINC PCA- 30 ML</t>
  </si>
  <si>
    <t>[8906120589826] PILGRIM DREAM MATTE LOOSE POWDER- BANANA</t>
  </si>
  <si>
    <t>[8906128100016] MINIMALIST 2% SALICYLIC ACID SERUM 30ML</t>
  </si>
  <si>
    <t>[8906128100023] MINIMALIST 2% RETINOID ANTI AGEING NIGHT CREAM 30ML</t>
  </si>
  <si>
    <t>[8906128100030] MINIMALIST 10% NIACINAMIDE FACE SERUM 30ML</t>
  </si>
  <si>
    <t>[8906128100047] MINIMALIST 10% AHA BHA EXFOLIATING SERUM 30ML</t>
  </si>
  <si>
    <t>[8906128100054] MINIMALIST 2% ALPHA ARBUTIN SERUM 30ML</t>
  </si>
  <si>
    <t>[8906128100061] MINIMALIST 2% HYALURONIC ACID + PGA SERUM 30ML</t>
  </si>
  <si>
    <t>[8906128100108] MINIMALIST 5% NIACINAMIDE DAY AND NIGHT FACE SERUM 30ML</t>
  </si>
  <si>
    <t>[8906128100139] MINIMALIST Vitamin C 10% Face Serum 30ml</t>
  </si>
  <si>
    <t>[8906128100146] MINIMALIST MULTI PEPTIDE NIGHT FACE SERUM 30 ML</t>
  </si>
  <si>
    <t>[8906128100160] MINIMALIST PHA 3% ALCOHOL FREE FACE TONER, 150 ML</t>
  </si>
  <si>
    <t>[8906128100177] MINIMALIST 3% TRANEXAMIC ACID FACE SERUM 30ML</t>
  </si>
  <si>
    <t>[8906128100184] MINIMALIST 0.3% RETINOL FACE SERUM 30ML</t>
  </si>
  <si>
    <t>[8906128100313] MINIMALIST HAIR DENSITY SERUM 30ML</t>
  </si>
  <si>
    <t>[8906128100320] MINIMALIST 2% SALICYLIC ACID FACE WASH FOR OILY SKIN 100ML</t>
  </si>
  <si>
    <t>[8906128100375] MINIMALIST SPF 60 SUNSCREEN 50G</t>
  </si>
  <si>
    <t>[8906128100382] MINIMALIST SUNSCREEN CREAM SPF 50 LIGHTWEIGHT 50GM</t>
  </si>
  <si>
    <t>[8906128100429] MINIMALIST 0.3% CERAMIDE MOISTURIZING GEL CREAM 50G</t>
  </si>
  <si>
    <t>[8906128100443] MINIMALIST 10% VITAMIN B5 GEL FACE MOISTURIZER 50G</t>
  </si>
  <si>
    <t>[8906128100504] MINIMALIST 16% VITAMIN C FACE SERUM 20ML</t>
  </si>
  <si>
    <t>[8906128100528] MINIMALIST GENTLE CLEANSER OAT EXTRACT FOR SENSITIVE SKIN 120ML</t>
  </si>
  <si>
    <t>[8906128100535] MINIMALIST 7% ALA &amp; AHA BRIGHTENING FACE WASH 100ML</t>
  </si>
  <si>
    <t>[8906128100696] MINIMALIST L-ASCORBIC ACID 08%LIP TREATMENT BALM- 12G</t>
  </si>
  <si>
    <t>[8906128100870] MINIMALIST VITAMIN K +RETINAL 01% EYECREAM- 14G</t>
  </si>
  <si>
    <t>[8906128100887] MINIMALIST NONAPEPTIDE+AHA 6% UNDERARM ROLL-ON 40ML</t>
  </si>
  <si>
    <t>[8906147700129] DOT &amp; KEY CICA NIACINAMIDE SUNSCREEN- 50 GM</t>
  </si>
  <si>
    <t>[8906147700174] DOT &amp; KEY WATERMELON FACE WASH- 100 ML</t>
  </si>
  <si>
    <t>[8906147700242] DOT &amp; KEY BARRIER REPAIR FACE WASH- 100 ML</t>
  </si>
  <si>
    <t>[8906147700396] DOT &amp; KEY CICA FACE WASH- 100 ML</t>
  </si>
  <si>
    <t>[8906147700402] DOT &amp; KEY LIP BALM CHERRY POP- 12 GM</t>
  </si>
  <si>
    <t>[8906147700433] DOT &amp; KEY LIP BALM STRAWBERRY CRUSH- 12 GM</t>
  </si>
  <si>
    <t>[8906147700440] DOT &amp; KEY LIP BALM SPF 50 - 12 GM (COCOA MINT)</t>
  </si>
  <si>
    <t>[8906147700471] DOT &amp; KEY 10% VITAMIN C + E, 5% NIACINAMIDE SERUM- 30 ML</t>
  </si>
  <si>
    <t>[8906147700587] DOT &amp; KEY VITAMIN C SUNSCREEN- 50 GM</t>
  </si>
  <si>
    <t>[8906147700662] DOT &amp; KEY WATERMELON SUNSCREEN- 50 GM</t>
  </si>
  <si>
    <t>[8906147701010] DOT &amp; KEY CICA +NIACINAMIDE OIL - FREE MOISTURIZER- 60 ML</t>
  </si>
  <si>
    <t>[8906147701201] DOT &amp; KEY STRAWBERRY DEW SUNSCREEN STICK SPF 50* PA++- 20G</t>
  </si>
  <si>
    <t>[8906147701836] DOT &amp; KEY WATERMELON COOLING UNDERARM ROLL ON - 50 ML</t>
  </si>
  <si>
    <t>[8906147702109] DOT &amp; KEY MANGO DETAN GEL FACE WASH - 100 ML</t>
  </si>
  <si>
    <t>[8906148700029] DR. SHETH’S CERAMIDE &amp; VITAMIN C SUNSCREEN-50GM</t>
  </si>
  <si>
    <t>[8906148700289] DR. SHETH’S NEEM &amp; SALICYLIC ACID FACE WASH - 100G</t>
  </si>
  <si>
    <t>[8906148700296] [8906148700296] DR. SHETH’S HALDI &amp; HYALURONIC ACID OIL-FREE MOISTURIZER - 50G</t>
  </si>
  <si>
    <t>[8906148700302] DR. SHETH’S CERAMIDE &amp; VITAMIN C OIL-FREE MOISTURIZER - 50G</t>
  </si>
  <si>
    <t>[8906148700333] DR. SHETH'S HALDI &amp; HYALURONIC ACID SUNSCREEN - 50GM</t>
  </si>
  <si>
    <t>[8906148700357] DR. SHETH’S TEA TREE &amp; LACTIC ACID BODY LOTION - 200ML</t>
  </si>
  <si>
    <t>[8906148700425] DR. SHETH’S CENTELLA &amp; NIACINAMIDE &amp; ACNE CONTROL SUNSCREEN-50GM</t>
  </si>
  <si>
    <t>[8906148700470] DR. SHETH’S NEEM &amp; SALICYLIC ACID BODY WASH - 250ML</t>
  </si>
  <si>
    <t>[8906148700487] DR. SHETH’S CERAMIDE &amp; VITAMIN C FACE WASH -100G</t>
  </si>
  <si>
    <t>[8906148700579] DR. SHETH’S CERAMIDE &amp; VITAMIN C SUNSCREEN-80G</t>
  </si>
  <si>
    <t>[8906148701514] DR. SHETH'S GULAB &amp; GLYCOLIC ACID UNDERARM ROLL ON 50ML</t>
  </si>
  <si>
    <t>[8906157900076] BARE ANATOMY ANTI HAIRFALL SHAMPOO 250ML</t>
  </si>
  <si>
    <t>[8906157900113] BARE ANATOMY ANTI DANDRUFF SHAMPOO - 250ML</t>
  </si>
  <si>
    <t>[8906157900243] BARE ANATOMY HEAT PROTECTION SPRAY – 150ML</t>
  </si>
  <si>
    <t>[8906157900427] CHEMIST AT PLAY  AHA BODY LOTION  5% NATURAL AHA, N+ S BUTTER</t>
  </si>
  <si>
    <t>[8906157900489] CHEMIST AT PLAY NECK, KNEE, ELBOW BRIGHTENING ROLL ON - 40ML.</t>
  </si>
  <si>
    <t>[8906157900519] CHEMIST AT PLAY RETINOL BODY LOTION- 200 ML</t>
  </si>
  <si>
    <t>[8906157900526] BARE ANATOMY CURL DEFINING GEL- 140ML</t>
  </si>
  <si>
    <t>[8906157900533] BARE ANATOMY CURL INTENSIFYING LEAVE IN CONDITIONER 140ML</t>
  </si>
  <si>
    <t>[8906157900557] BARE ANATOMY CURL DEFINING SHAMPOO- 250ML</t>
  </si>
  <si>
    <t>[8906157900632] CHEMIST AT PLAY UNDER ARM ROLL ON WOODY MUSK 40 ML</t>
  </si>
  <si>
    <t>[8906157900649] CHEMIST AT PLAY UNDER ARM ROLL ON ROYAL OUDH 40ML</t>
  </si>
  <si>
    <t>[8906157900656] CHEMIST AT PLAY UNDER ARM ROLL ON WHITE JASMINE 40ML</t>
  </si>
  <si>
    <t>[8906157900670] CHEMIST AT PLAY EXFOLIATING BODY SCRUB 75GM</t>
  </si>
  <si>
    <t>[8906157900694] CHEMIST AT PLAY BRIGHTENING BOOST BODY LOTION- 200 ML</t>
  </si>
  <si>
    <t>[8906157900793] CHEMIST AT PLAY HYDRATING BODY WASH WITH HYALU.ACID &amp; COCONUT OIL, 236ML</t>
  </si>
  <si>
    <t>[8906157900809] CHEMIST AT PLAY BRIGHTENING BODY WASH - 236ML (3% CAMU CAMU &amp; ALPHA ARBUTIN)</t>
  </si>
  <si>
    <t>[8906157901127] CHEMIST AT PLAY FOOT CREAM FOR CRACKED HEEL &amp; DIABETIC FOOT- 50GM</t>
  </si>
  <si>
    <t>[8906157901356] BARE ANATOMY HYDRATING CONDITIONER WITH ROSEMARY &amp; COCONUT- 150GM</t>
  </si>
  <si>
    <t>[8906157902087] BARE ANATOMY ADVANCED HAIR GROWTH SERUM 30ML</t>
  </si>
  <si>
    <t>[8906157902629] BARE ANATOMY ANTI FRIZZ LEAVE IN CONDITIONER 150ML</t>
  </si>
  <si>
    <t>[8906157902643] BARE ANATOMY SHAMPOO WITH ROSEMARY &amp; COCONUT MILK- 200 ML</t>
  </si>
  <si>
    <t>[8906157902759] BARE ANATOMY ROSEMARY &amp; HIBISCUS HAIR GROWTH OIL- 100ML</t>
  </si>
  <si>
    <t>[8906157903459] BARE ANATOMY ROSEMARY WATER FOR HAIR GROWTH WITH RICE WATER, 200ML</t>
  </si>
  <si>
    <t>[8906157903824] CHEMIST AT PLAY CHERRY  LIP JELLY SPF 50 PA++++ GLOSSY LIP BALM-10GM</t>
  </si>
  <si>
    <t>[8906157903831] CHEMIST AT PLAY CHOCOLATE LIP JELLY SPF 50 PA++++ GLOSSY LIP BALM-10GM</t>
  </si>
  <si>
    <t>[8906157903930] SUNSCOOP 5% NIACINAMIDE DAILY MOISTURE SUNSCREEN SPF 50+ PA++++, 200ML</t>
  </si>
  <si>
    <t>[8906157903947] BARE ANATOMY EXPERT SLEEK HAIR FINISHING STICK -10ML</t>
  </si>
  <si>
    <t>[8906157904227] SUNSCOOP CERAMIDES &amp; RICE WATER GEL SUNSCREEN SPF 50+ PA++ 45G</t>
  </si>
  <si>
    <t>[8906157904302] CHEMIST AT PLAY ODOUR CONTROL BODY WASH-236ML</t>
  </si>
  <si>
    <t>[8906157904548] CHEMIST AT PLAY TRI ACTIVE ROLL ON AQUA- 40ML</t>
  </si>
  <si>
    <t>[8908016593368] BARE ANATOMY DAMAGE REPAIR HAIR SERUM - 100ML</t>
  </si>
  <si>
    <t>[8908016593375] BARE ANATOMY ULTRA SMOOTHING HAIR SERUM - 100ML</t>
  </si>
  <si>
    <t>[8908016593399] CHEMIST AT PLAY ACNE CONTROL BODY WASH WITH CERAMIDES 3% PENTAVITIN + 1% SALICYLIC ACID</t>
  </si>
  <si>
    <t>[8908016593443] BARE ANATOMY DAMAGE REPAIR HAIR MASK - 250GM</t>
  </si>
  <si>
    <t>[8908016593450] BARE ANATOMY ULTRA SMOOTHING HAIR MASK - 250GM</t>
  </si>
  <si>
    <t>[8908016593511] CHEMIST AT PLAY OIL AND ACNE CONTROL FACE WASH 100ML</t>
  </si>
  <si>
    <t>[8908016593559] BARE ANATOMY VOLUMIZING HAIR MASK - 250GM</t>
  </si>
  <si>
    <t>[8908016593573] BARE ANATOMY DAMAGE REPAIR SHAMPOO - 250ML</t>
  </si>
  <si>
    <t>[8908016593597] BARE ANATOMY ULTRA SMOOTHING SHAMPOO - 250ML</t>
  </si>
  <si>
    <t>[8908016593603] BARE ANATOMY VOLUMIZING SHAMPOO - 250ML</t>
  </si>
  <si>
    <t>[8908016593641] CHEMIST AT PLAY EXFOLIATING BODY WASH 236ML</t>
  </si>
  <si>
    <t>[8908016593856] CHEMIST AT PLAY UNDER ARM ROLL ON - AQUA FRAGRANCE - 40ML (4% LACTIC ACID + 1% MANDELIC ACID)</t>
  </si>
  <si>
    <t>[8908016593863] CHEMIST AT PLAY UNDER ARM ROLL ON - FRAGRANCE FREE - 40ML (4% LACTIC ACID + 1% MANDELIC ACID)</t>
  </si>
  <si>
    <t>[8908016593887] CHEMIST AT PLAY HYDRATING AND ANTI-AGING UNDEREYE CREAM - 15GM</t>
  </si>
  <si>
    <t>[8908016593955] CHEMIST AT PLAY UNDER ARM ROLL ON - PEACH FRAGRANCE - 40ML</t>
  </si>
  <si>
    <t>[ADAPT] PRIMA CARE ADAPT 4-IN-1 HOT AIR STYLER 900W</t>
  </si>
  <si>
    <t>[BD000024] BEARDO ICE BLAST FACE WASH 100ML</t>
  </si>
  <si>
    <t>[BDCl071] BEARDO DE-TAN FACE WASH, 100ML</t>
  </si>
  <si>
    <t>[BDCL109] BEARDO JAMAICAN RUM SOAP 75G</t>
  </si>
  <si>
    <t>[BDDE01] BEARDO SPY PERFUME BODY SPRAY, 120ML</t>
  </si>
  <si>
    <t>[BDDE04] BEARDO WHISKEY SMOKE BODY SPRAY-120ML</t>
  </si>
  <si>
    <t>[BDDE08] BEARDO DON PERFUME BODY SPRAY 150ML</t>
  </si>
  <si>
    <t>[BDDE09] BEARDO MARINER PERFUME DEO SPRAY 150 ML</t>
  </si>
  <si>
    <t>[BDDE18] BEARDO LEGACY PERFUME DEO SPRAY 150ML</t>
  </si>
  <si>
    <t>[BDSE002] BEARDO HAIR SERUM WITH ARGAN OIL FOR MEN, 50ML</t>
  </si>
  <si>
    <t>[BDSE008] BEARDO MAX SUNSCREEN SPRAY SPF50 50ML</t>
  </si>
  <si>
    <t>[BDTO008] BEARDO NYLON BRUSH</t>
  </si>
  <si>
    <t>[BLHR0015EDP3881] PLUM BODYLOVIN' HAWAIIAN RUMBA EAU DE PARFUM- 15 ML</t>
  </si>
  <si>
    <t>[BLVV0100BMT7322] PLUM BODYLOVIN' VANILLA VIBES BODY MIST 100ML</t>
  </si>
  <si>
    <t>[C00684] UBIYA DERMA HYDRATING CREAM- 80GM</t>
  </si>
  <si>
    <t>[C00989] UBIYA DERMA CLEANSING FACE WASH- 100ML</t>
  </si>
  <si>
    <t>[C00990] UBIYA DERMA SKIN THERAPY MOISTURIZER CREAM- 80GM</t>
  </si>
  <si>
    <t>[C00991] UBIYA DERMA SKIN ESSENCE TONER</t>
  </si>
  <si>
    <t>[C00992] UBIYA DERMA SKIN REFINED TONER- 100ML</t>
  </si>
  <si>
    <t>[CLB5] WISHCARE CERAMIDE LIP BALM WITH SPF 50 PA+++ (UNTINTED) - 5GM</t>
  </si>
  <si>
    <t>[CMC001] RE'EQUIL CERAMIDE &amp; HA MOISTURISER FOR NORMAL TO DRY SKIN 100GM</t>
  </si>
  <si>
    <t>[DS-FFS-04] DR. SHETH'S CENTELLA AND 10% NIACINAMIDE SERUM 30ML</t>
  </si>
  <si>
    <t>[EL-DMC] PLUM E-LUMINENCE DEEP MOISTURIZING CREME, 50ML</t>
  </si>
  <si>
    <t>[EL-SSCB-0347] PLUM E-LUMINENCE SIMPLY SUPPLE CLEANSING BALM, 90GM</t>
  </si>
  <si>
    <t>[GC969] L.A. GIRL HD PRO CONCEALER (PORCELAIN)</t>
  </si>
  <si>
    <t>[GC970] L.A. GIRL HD PRO CONCEALER (LIGHT IVORY)</t>
  </si>
  <si>
    <t>[GC973] L.A. GIRL HD PRO CONCEALER (CREME BEIGE)</t>
  </si>
  <si>
    <t>[GC974] L.A. GIRL HD PRO CONCEALER (NUDE)</t>
  </si>
  <si>
    <t>[GC978] L.A. GIRL HD PRO CONCEALER (MEDIUM BEIGE)</t>
  </si>
  <si>
    <t>[M241111] UBIYA DERMA AGELESS CREAM - 50GM</t>
  </si>
  <si>
    <t>[MAG51421-1-RB] MAANGE 1PC SOFT REUSABLE COSMETIC POWDER PUFF WITH STRAP</t>
  </si>
  <si>
    <t>[MAG5701WB] MAANGE 1PC MAKE UP REMOVER MICROFIBER FACIAL MAKEUP PUFF REUSABLE DOUBLE-SIDE FACE CLEANSING TOWEL CLOTH PAD MAG 5701 (white brown)</t>
  </si>
  <si>
    <t>[MAG5709BR] MAANGE 1PC MICROFIBER PADS DOUBLE LAYER FACIAL MAKEUP REMOVER PUFF COTTON (BROWN)</t>
  </si>
  <si>
    <t>[NOBFS50] WISHCARE 5% NIACINAMIDE OIL BALANCE FLUID SUNSCREEN SPF50 PA++++ - 50GM</t>
  </si>
  <si>
    <t>[P0301] SKIN1004 MADAGASCAR CENTELLA POREMIZING QUICK CLAY STICK MASK-27G</t>
  </si>
  <si>
    <t>[P0417] ANUA - RICE 70 GLOW MILKY TONER- 250ML</t>
  </si>
  <si>
    <t>[P0435] PURITO SEOUL MIGHTY BAMBOO PANTHENOL CREAM 100ML</t>
  </si>
  <si>
    <t>[P0439] PURITO OAT-IN CALMING GEL CREAM -100ML</t>
  </si>
  <si>
    <t>[P1CLB5] WISHCARE CERAMIDE LIP BALM WITH SPF 50 PA+++ (TINTED) - 5GM</t>
  </si>
  <si>
    <t>[PLAR0175HRC7049] PLUM AVOCADO &amp; ARGAN FRIZZ CONTROL CONDITIONER 175ML</t>
  </si>
  <si>
    <t>[PLAR0250HRP1991] PLUM AVOCADO &amp; ARGAN FRIZZ CONTROL SHAMPOO 250ML</t>
  </si>
  <si>
    <t>[PLBK0020FSE3089] PLUM BAKUCHIOL &amp; 1% RETINOL SERUM (20 ML)</t>
  </si>
  <si>
    <t>[PLBV0030FSE3058] PLUM BULGARIAN ROSE &amp; 2% HYALURONIC ACID SERUM (30 ML)</t>
  </si>
  <si>
    <t>[PLBV0100FTN2648] PLUM BULGARIAN VALLEY ROSE WATER TONER (100 ml)</t>
  </si>
  <si>
    <t>[PLGT0050DMT0065] PLUM GREEN TEA MATTIFYING MOISTURIZER, 50ML</t>
  </si>
  <si>
    <t>[PLGT0100FWA8121] PLUM GREEN TEA PORE CLEANSING FACE WASH 100 GM</t>
  </si>
  <si>
    <t>[PLGT0200FTN0058] PLUM GREEN TEA ALCOHOL- FREE FRAGRANCE FREE TONER 200ML</t>
  </si>
  <si>
    <t>[PLMB0012LBM1153] PLUM CANDY MELTS VEGAN LIP BALM - MELON BUBBLE YUM, 12G</t>
  </si>
  <si>
    <t>[PLMV0020FSE2600] PLUM MANDARIN &amp; 15 % VITAMIN C SERUM- 20ML</t>
  </si>
  <si>
    <t>[PLMV0110FWA4383] PLUM MANDARIN &amp; VITAMIN C FOAMING FACE WASH, 110ML</t>
  </si>
  <si>
    <t>[PLNC0030FSE6486] PLUM 5% NIACINAMIDE FACE SERUM 30ML</t>
  </si>
  <si>
    <t>[PLRV0005LBM0318] PLUM CANDY MELTS RED VELVET LOVE TINTED LIP BALM- 4.5 GM</t>
  </si>
  <si>
    <t>[PLRW0015FSE1995] PLUM RICE WATER &amp; 10% NIACINAMIDE SERUM (15 ml)</t>
  </si>
  <si>
    <t>[PLRW0030FSE1996] PLUM RICE WATER &amp; 10% NIACINAMIDE SERUM (30 ML)</t>
  </si>
  <si>
    <t>[PLRW0150FTN2012] PLUM RICE WATER &amp; NIACINAMIDE 3% TONER 150ML</t>
  </si>
  <si>
    <t>[PLRW1050SUS1070] PLUM RICE WATER &amp; NIACINAMIDE 2% HYBRID SUNSCREEN 50 GM</t>
  </si>
  <si>
    <t>[PLSA0030FSE1384] PLUM 2% ENCAPSULATED SALICYLIC ACID FACE SERUM (30 ML)</t>
  </si>
  <si>
    <t>[PLSP0100FWA6370] PLUM SAFFRON &amp; PAPAYA GLOW BRIGHT FACE WASH 100ML</t>
  </si>
  <si>
    <t>[PLSS0005LBM0325] PLUM CANDY MELTS STRAWBERRY SORBET TINTED LIP BALM- 4.5 GM</t>
  </si>
  <si>
    <t>[PNG01873] WHISPER CHOICE NIGHT SANITARY PADS (XXL) 6'S</t>
  </si>
  <si>
    <t>[PNG02004] WHISPER ULTRA CLEAN SANITARY PADS ,XL HYGIENE &amp; COMFORT</t>
  </si>
  <si>
    <t>[PNG02378] Whisper Choice Ultra (6 Pads)</t>
  </si>
  <si>
    <t>[SS_ 01] HOMA S SELECT SUPER CLEANSING OIL - 300ML</t>
  </si>
  <si>
    <t>[SS_ 07] HOMA HATOMUGI CLEANSING GEL 500ML</t>
  </si>
  <si>
    <t>[SS_101] HOMA S SELECT PRETTY FACE RAZOR L (FOR SENSITIVE SKIN) 3PCS</t>
  </si>
  <si>
    <t>[SS_ 11] HOMA S SELECT TEA THREE VOLUME &amp; SHINE SHAMPOO-470ML</t>
  </si>
  <si>
    <t>[SS_118] HOMA KUMANO COSME PHARMAACT ACNECONTROL MEDICATED FACIAL FOAM 130G</t>
  </si>
  <si>
    <t>[SS_122] HOMA S SELECT PRETTY EYEBROW SHAVING 3PCS</t>
  </si>
  <si>
    <t>[SS_ 20] HOMA S SELECT BELLGRACE MOISTURIZING MAKEUP REMOVER SHEET-50GM</t>
  </si>
  <si>
    <t>[SS_ 23] HOMA S SELECT MOISTURIZING BODY MILK LOTION FLORAL-400ML</t>
  </si>
  <si>
    <t>[SS_ 27] HOMA HATOMUGI MILD FACIAL WASH 150 GM</t>
  </si>
  <si>
    <t>[SS_ 30] HOMA S SELECT FERMENTED COLLAGEN STOCK SOLUTION 100% 30ML</t>
  </si>
  <si>
    <t>[SS_ 32] HOMA S SELECT UV PROTECTION GEL LOTION 300ML</t>
  </si>
  <si>
    <t>[SS_59] HOMA SHIN S-LABO GALACTOMYCES 7P</t>
  </si>
  <si>
    <t>[SS_64] HOMA BOTANICAL ALL IN ONE FACE MASK 30SHEETS</t>
  </si>
  <si>
    <t>[TPS100] THE PUREST SOLUTIONS NIACINAMIDE 5% + ZINC INTENSIVE SERUM 30ML</t>
  </si>
  <si>
    <t>[TPS102] THE PUREST SOLUTIONS HYALURONIC ACID 2% + B5 HYDRATION SERUM 30ML</t>
  </si>
  <si>
    <t>[TPS103] THE PUREST SOLUTIONS ARBUTIN 2% + HYALURONIC ACID SERUM 30ML</t>
  </si>
  <si>
    <t>[TPS104] THE PUREST SOLUTIONS 5% GYCOLIC ACID TONER AHA + BHA TONER 200ML</t>
  </si>
  <si>
    <t>[TPS106] THE PUREST SOLUTIONS COMPLEX PEPTIDE 2% PEPTIDE COMPLEX SERUM-30ML</t>
  </si>
  <si>
    <t>[TPS201] THE PUREST SOLUTIONS REJUVENATING RETINOL SERUM + CERAMIDE 30ML</t>
  </si>
  <si>
    <t>[TPS204] THE PUREST SOLUTIONS UV PROTECTION SUNSCREEN 50ML</t>
  </si>
  <si>
    <t>[TURBO] PRIMA CARE 6228-TURBO HAIR DRYER 2000W DC MOTOR</t>
  </si>
  <si>
    <t>[UARM50] WISHCARE UNDER ARM ROLL ON SERUM - 50ML</t>
  </si>
  <si>
    <t>[WHGS30] WISHCARE HAIR GROWTH SERUM 3% RDSYL, 4% ANAGAIN, RW, BIOTIN - 30ML</t>
  </si>
  <si>
    <t>360 BLOCK SUNSCREEN GEL, 50GM</t>
  </si>
  <si>
    <t>ACMIST MOISTURIZING CREAM GEL- 100 GM</t>
  </si>
  <si>
    <t>ACMIST MOISTURIZING CREAM GEL 50G</t>
  </si>
  <si>
    <t>ACNE DERMA FACEWASH GEL 60GM</t>
  </si>
  <si>
    <t>ACNE GUARD FACE WASH GEL 100G</t>
  </si>
  <si>
    <t>ACNEMOIST CREAM - FOR ACNE PRONE SKIN, 60GM</t>
  </si>
  <si>
    <t>ACNES CLEAR PATCH (24 PATCHES)</t>
  </si>
  <si>
    <t>ACNES CREAMY FACE WASH, 50 GM</t>
  </si>
  <si>
    <t>ACNES VITAMIN CLEANSER 150GM</t>
  </si>
  <si>
    <t>ACNES VITAMIN CLEANSER FACE WASH, 50 GM</t>
  </si>
  <si>
    <t>ACNES WHITENING FACIAL CLEANSER, 100 GM</t>
  </si>
  <si>
    <t>AESTURA ATO BARRIER 365 CREAM 30ML</t>
  </si>
  <si>
    <t>AESTURA ATO BARRIER 365 LOTION 150ML</t>
  </si>
  <si>
    <t>ANUA 3 CERAMIDE PANTHENOL MOISTURE BARRIER CREAM 100ML</t>
  </si>
  <si>
    <t>ANUA 7 RICE CERAMIDE HYDRATING BARRIER SERUM - 50ML</t>
  </si>
  <si>
    <t>ANUA AIR SUN CREAM SPF 50+ PA++++ 50ML</t>
  </si>
  <si>
    <t>ANUA AZELAIC ACID 10 HYALURON REDNESS SOOTHING SERUM - 30ML</t>
  </si>
  <si>
    <t>ANUA HEARTLEAF 70 DAILY LOTION 200ML</t>
  </si>
  <si>
    <t>ANUA HEARTLEAF 77% CLEAR PAD(70 SHEETS)- 160 ML</t>
  </si>
  <si>
    <t>ANUA HEARTLEAF 77% SOOTHING TONER - 250 ML</t>
  </si>
  <si>
    <t>ANUA HEARTLEAF PORE CONTROL CLEANSING OIL- 200ML</t>
  </si>
  <si>
    <t>ANUA HEARTLEAF PORE DEEP CLEANSING FOAM- 150ML</t>
  </si>
  <si>
    <t>ANUA HEARTLEAF SILKY MOISTURE SUN CREAM – SPF 50+ PA++++</t>
  </si>
  <si>
    <t>ANUA HEARTLEAF SUCCINIC MOISTURE CLEANSING FOAM - 150ML</t>
  </si>
  <si>
    <t>ANUA NIACINAMIDE 10% + TXA 4% DARK SPOT SERUM-30ML</t>
  </si>
  <si>
    <t>ANUA PDRN HYALURONIC ACID CAPSULE 100 SERUM - 30ML</t>
  </si>
  <si>
    <t>ANUA PEACH 70 NIACIN SERUM, 30ML</t>
  </si>
  <si>
    <t>ANUA PEACH 77 NIACIN ESSENCE TONER- 250 ML</t>
  </si>
  <si>
    <t>AVEENO BABY CALMING COMFORT LOTION, (18OZ-532ML)</t>
  </si>
  <si>
    <t>AVEENO BABY DAILY MOISTURE GENTLE BODY WASH &amp; SHAMPOO, (18OZ-532ML)</t>
  </si>
  <si>
    <t>AVEENO DAILY MOISTURIZING CREAM, (12OZ-354ML)</t>
  </si>
  <si>
    <t>AXIS-Y DARK SPOT CORRECTING GLOW SERUM 50ML</t>
  </si>
  <si>
    <t>BARE ANATOMY CURL ENHANCING HAIR MASK- 250GM</t>
  </si>
  <si>
    <t>BARE ANATOMY DAMAGE REPAIR HAIR SERUM - 100ML</t>
  </si>
  <si>
    <t>BARE ANATOMY  DERMA ROLLER 0.25MM WITH  540 TITANIUM NEEDLES</t>
  </si>
  <si>
    <t>BATH AND BODY WORKS LOTION 236ML- A THOUSAND WISHES</t>
  </si>
  <si>
    <t>BATH AND BODY WORKS LOTION 236ML- DARK KISS</t>
  </si>
  <si>
    <t>BATH AND BODY WORKS LOTION 236ML- IN THE STARS</t>
  </si>
  <si>
    <t>BATH AND BODY WORKS LOTION 236ML- JAPANESE CHERRY BLOSSOM</t>
  </si>
  <si>
    <t>BATH AND BODY WORKS MIST 236ML- SNOWFLAKES &amp; CASHMERE</t>
  </si>
  <si>
    <t>BATH AND BODY WORKS MIST 236ML- YOURE THE ONE</t>
  </si>
  <si>
    <t>BATISTE DRY SHAMPOO 200ML - BLUSH</t>
  </si>
  <si>
    <t>BATISTE DRY SHAMPOO 200ML - CHERRY</t>
  </si>
  <si>
    <t>BATISTE DRY SHAMPOO ORIGINAL 200ML</t>
  </si>
  <si>
    <t>BATISTE DRY SHAMPOO SWEETIE- 200ML</t>
  </si>
  <si>
    <t>BATISTE DRY SHAMPOO TROPICAL 200ML</t>
  </si>
  <si>
    <t>BATISTE DRY SHAMPOO XX STYLE VOLUME- 200ML</t>
  </si>
  <si>
    <t>BEAUTY OF JOSEON CENTELLA ASIATICA CALMING MASK - 1SHEET</t>
  </si>
  <si>
    <t>BEAUTY OF JOSEON DYNASTY CREAM 50ML</t>
  </si>
  <si>
    <t>BEAUTY OF JOSEON GINSENG ESSENCE WATER HYDRATING TONER- 150ML</t>
  </si>
  <si>
    <t>BEAUTY OF JOSEON GLOW DEEP SERUM: RICE + ALPHA ARBUTIN 30ML</t>
  </si>
  <si>
    <t>BEAUTY OF JOSEON GLOW SERUM PROPOLIS+NIACINAMIDE, 30ML</t>
  </si>
  <si>
    <t>BEAUTY OF JOSEON RELIEF SUN AQUA-FRESH: RICE + B5 - 50ML</t>
  </si>
  <si>
    <t>BEAUTY OF JOSEON SPF 50 RELIEF SUN CREAM: RICE + PROBIOTICS - 50ML</t>
  </si>
  <si>
    <t>BELLA VITA DATE WOMAN 100ML</t>
  </si>
  <si>
    <t>BELLA VITA GIFT SET UNISEX 4*20ML</t>
  </si>
  <si>
    <t>BELLA VITA HONEY OUD 100ML</t>
  </si>
  <si>
    <t>BELLA VITA KLUB MAN 100ML</t>
  </si>
  <si>
    <t>BELLA VITA KLUB MAN DEO PARFUM - 150ML</t>
  </si>
  <si>
    <t>BELLA VITA LUXURY CEO MAN PERFUME- 20 ML</t>
  </si>
  <si>
    <t>BELLA VITA LUXURY DATE EAU DE PARFUM FOR WOMEN- 20 ML</t>
  </si>
  <si>
    <t>BELLA VITA LUXURY GLAM PERFUME- 20 ML</t>
  </si>
  <si>
    <t>BELLA VITA LUXURY SKAI AQUATIC PERFUME- 20 ML</t>
  </si>
  <si>
    <t>BELLA VITA ORGANIC GLAM WOMEN LUXURY PERFUME 100ML</t>
  </si>
  <si>
    <t>BELLA VITA ORGANIC LUXURY OUD PARFUM</t>
  </si>
  <si>
    <t>BELLA VITA ORGANIC ROSE WOMEN LUXURY PERFUME, 100ML</t>
  </si>
  <si>
    <t>BELLA VITA PERFUME GIFT SET FOR HER (4 X 20 ML)</t>
  </si>
  <si>
    <t>BELLA VITA PERFUME GIFT SET FOR MEN (4 X 20 ML)</t>
  </si>
  <si>
    <t>BELLA VITA SENORITA WOMAN 100ML</t>
  </si>
  <si>
    <t>BELLA VITA SENORITA WOMAN BODY MIST- 150 ML</t>
  </si>
  <si>
    <t>BELLA VITA SKAI AQUATIC 100ML</t>
  </si>
  <si>
    <t>BELLA VITA WHITE OUD WHITE UNISEX- 100ML</t>
  </si>
  <si>
    <t>BIODANCE BIO COLLAGEN REAL DEEP MASK (1PC)</t>
  </si>
  <si>
    <t>BIODERMA ATODERM CREME ULTRA NOURISHING 200ML</t>
  </si>
  <si>
    <t>BIODERMA ATODERM INTENSIVE BAUME 200ML</t>
  </si>
  <si>
    <t>BIODERMA PHOTODERM SPF 50+ AQUA FLUID 40ML</t>
  </si>
  <si>
    <t>BIODERMA PHOTODERM SPF 50+ CREAM 40ML</t>
  </si>
  <si>
    <t>BIODERMA PIGMENTBIO FOAMING CREAM T200ML</t>
  </si>
  <si>
    <t>BIODERMA SEBIUM GEL MOUSSANT T100ML</t>
  </si>
  <si>
    <t>BIODERMA SEBIUM HYDRA ULTRA MOISTURISING COMPENSATING CARE 40ML</t>
  </si>
  <si>
    <t>BIODERMA SENSIBIO H2O MICELLAR WATER (100 ml)</t>
  </si>
  <si>
    <t>BOROLINE ANTISEPTIC AYURVEDIC CREAM- 40G BOX</t>
  </si>
  <si>
    <t>CELIMAX THE VITA-A RETINAL SHOT TIGHTENING BOOSTER - 15ML</t>
  </si>
  <si>
    <t>CERAVE DAILY MOISTURIZING LOTION (16OZ - 473ML) (USA)</t>
  </si>
  <si>
    <t>CeraVe Eye Repair Cream 0.5oz (USA)</t>
  </si>
  <si>
    <t>CERAVE FOAMING FACIAL CLEANSER (16OZ - 473ML)</t>
  </si>
  <si>
    <t>CERAVE HYDRATING FACIAL CLEANSER 16OZ/473ML</t>
  </si>
  <si>
    <t>CERAVE HYDRATING MINERAL SUNSCREEN SPF 50 (2.5OZ-75ML)</t>
  </si>
  <si>
    <t>CERAVE MOISTURIZING CREAM 1.89 OZ/56ML (USA)</t>
  </si>
  <si>
    <t>CERAVE MOISTURIZING CREAM WITH PUMP (19 OZ - 539 GM)</t>
  </si>
  <si>
    <t>CERAVE RENEWING SA CLEANSER (12OZ- 355ML)</t>
  </si>
  <si>
    <t>Cetaphil DAM Daily Advance Ultra Hydrating Lotion (100g)</t>
  </si>
  <si>
    <t>CETAPHIL GENTLE SKIN CLEANSER (125ML)</t>
  </si>
  <si>
    <t>Cetaphil Gentle Skin Cleanser (20OZ-591ml) - Canada</t>
  </si>
  <si>
    <t>Cetaphil Gentle Skin Cleanser (250 ml)</t>
  </si>
  <si>
    <t>Cetaphil Gentle Skin Cleanser (500ml)</t>
  </si>
  <si>
    <t>Cetaphil Moisturising Cream (250g)</t>
  </si>
  <si>
    <t>CETAPHIL MOISTURISING LOTION- 100ML</t>
  </si>
  <si>
    <t>Cetaphil Moisturising Lotion (20OZ-591ml) - Canada</t>
  </si>
  <si>
    <t>Cetaphil Moisturising Lotion (250ml)</t>
  </si>
  <si>
    <t>CETAPHIL MOISTURIZING CREAM (16OZ- 453GM)- CANADA</t>
  </si>
  <si>
    <t>Cetaphil Moisturizing Cream (80G)</t>
  </si>
  <si>
    <t>Cetaphil Oily Skin Cleanser (125ml)</t>
  </si>
  <si>
    <t>Cetaphil Sun SPF 50+ Light Gel Very High Protection (50ml)</t>
  </si>
  <si>
    <t>CEUTICOZ CLEAR ZINC TINTED SUNSCREEN GEL SPF 50- BRONZE, 50GM</t>
  </si>
  <si>
    <t>CEUTICOZ CLEAR ZINC TINTED SUNSCREEN GEL SPF 50- IVORY, 50GM</t>
  </si>
  <si>
    <t>CEUTICOZ UVICOZ SUNSCREEN LOTION SPF 50+ 50ML</t>
  </si>
  <si>
    <t>CHADET LIPSTICK ROYALE 05- BLOOD RED</t>
  </si>
  <si>
    <t>CHADET LIPSTICK SORBET 03- DUSTY PEACHY PINK</t>
  </si>
  <si>
    <t>CHADET LIPSTICK SQUISHY 01- BARBIE NUDE PINK</t>
  </si>
  <si>
    <t>CHEMIST AT PLAY CERAMIDES + KOJIC LIP BALM SPF 50 PA++++ CHERRY</t>
  </si>
  <si>
    <t>COSRX- ACNE PIMPLE MASTER PATCH</t>
  </si>
  <si>
    <t>COSRX ADVANCED SNAIL 92 ALL IN ONE CREAM 100 GM</t>
  </si>
  <si>
    <t>COSRX – ADVANCED SNAIL 96 MUCIN POWER ESSENCE 100ML</t>
  </si>
  <si>
    <t>COSRX ADVANCED SNAIL RADIANCE DUAL ESSENCE, 80ML</t>
  </si>
  <si>
    <t>COSRX ALOE SOOTHING SUNSCREEN -50ML</t>
  </si>
  <si>
    <t>COSRX- CLEAR FIT MASTER PATCH</t>
  </si>
  <si>
    <t>COSRX HYALURONIC ACID INTENSIVE CREAM 100ML</t>
  </si>
  <si>
    <t>COSRX LOW PH GOOD MORNING GEL CLEANSER 150ML</t>
  </si>
  <si>
    <t>COSRX SALICYLIC ACID DAILY GENTLE CLEANSER 150ML</t>
  </si>
  <si>
    <t>COSRX THE 6 PEPTIDE SKIN BOOSTER 150ML</t>
  </si>
  <si>
    <t>COSRX VITAMIN C 23 SERUM- 20ML</t>
  </si>
  <si>
    <t>COXIR ULTRA HYALURONIC CLEANSING OIL- 150ML</t>
  </si>
  <si>
    <t>DERIVA CMS GEL 15GM</t>
  </si>
  <si>
    <t>DERIVA MS GEL 15GM</t>
  </si>
  <si>
    <t>DERMAMOIST LOTION - 100ML</t>
  </si>
  <si>
    <t>DOT &amp; KEY BLUEBERRY HYDRATE BARRIER SPF 50+ PA++++ SUNSCREEN 50G</t>
  </si>
  <si>
    <t>DOT &amp; KEY POMEGRANATE &amp; PEPTIDE YOUTH RESTORE MOISTURIZER SPF 30 60ML</t>
  </si>
  <si>
    <t>DOT &amp; KEY  STRAWBERRY DEW TINTED SUNSCREEN SPF 50+ PA++++ - 01 PORCELAIN - 50ML</t>
  </si>
  <si>
    <t>DOT &amp; KEY STRAWBERRY DEW TINTED SUNSCREEN SPF 50+ PA++++ - 02 WARM IVORY- 50ML</t>
  </si>
  <si>
    <t>DOT &amp; KEY STRAWBERRY DEW TINTED SUNSCREEN SPF 50+ PA++++ - 03 SAND - 50ML</t>
  </si>
  <si>
    <t>DOT &amp; KEY  STRAWBERRY DEW TINTED SUNSCREEN SPF 50+ PA++++ - 05 BEIGE- 50ML</t>
  </si>
  <si>
    <t>DOT &amp; KEY STRAWBERRY DEW TINTED SUNSCREEN SPF 50+ PA++++ - 07 CARAMEL- 50ML</t>
  </si>
  <si>
    <t>DOT &amp; KEY WATERMELON BODY SUNSCREEN SPRAY SPF 50+ PA+++ 110ML</t>
  </si>
  <si>
    <t>DOVE STICK INVISIBLE DRY- 40GM</t>
  </si>
  <si>
    <t>DOVE ULTIMATE REPAIR DARK MARKS CORRECTOR - 40GM</t>
  </si>
  <si>
    <t>DR. ALTHEA – 345 RELIEF CREAM - 50ML</t>
  </si>
  <si>
    <t>DR. ALTHEA- PURE GRINDING CLEANSING BALM C3 - 50ML</t>
  </si>
  <si>
    <t>DR JK1 SUNSCREEN LOTION SPF50+++ 200 ML</t>
  </si>
  <si>
    <t>DR.JK 4 VITA-C COLLAGEN SUNSCREEN CREAM, 200ML</t>
  </si>
  <si>
    <t>DUVITIN CREAM 100GM</t>
  </si>
  <si>
    <t>DUVITIN LOTION 100ML</t>
  </si>
  <si>
    <t>D-WASH FACIAL WASH 70ML</t>
  </si>
  <si>
    <t>EKRAN AQUA GEL SUNSCREEN 50GM</t>
  </si>
  <si>
    <t>EKRAN SOFT SPF 50+ GEL 50GM</t>
  </si>
  <si>
    <t>ELIZAVECCA MILKY PEGGY COLLAGEN CERAMIDE COATING PROTEIN TREATMENT, 100ML</t>
  </si>
  <si>
    <t>ENCHANTEUR PERFUMED ALLURING SHOWER GEL - 250ML</t>
  </si>
  <si>
    <t>ENCHANTEUR PERFUME DEO ROLL ON - ALLURING (50ML)</t>
  </si>
  <si>
    <t>ENCHANTEUR PERFUME DEO ROLL ON - ROMANTIC (50ML)</t>
  </si>
  <si>
    <t>ENCHANTEUR PERFUMED GORGEOUS SHOWER GEL - 250ML</t>
  </si>
  <si>
    <t>ENCHANTEUR PERFUMED ROMANTIC SHOWER GEL - 250ML</t>
  </si>
  <si>
    <t>ENCHANTEUR POCKET PERFUME ALLURING - 18ML</t>
  </si>
  <si>
    <t>ENCHANTEUR POCKET PERFUME CHARMING - 18ML</t>
  </si>
  <si>
    <t>ENCHANTEUR POCKET PERFUME ROMANTIC - 18ML</t>
  </si>
  <si>
    <t>ENCHANTEUR ROMANTIC PERFUMED SHOWER GEL - 550ML</t>
  </si>
  <si>
    <t>ENCHANTEUR ROMANTIC PERFUMED TALC - 50G</t>
  </si>
  <si>
    <t>EQQUALBERRY BAKUCHIOL PLUMPING SERUM - 30ML</t>
  </si>
  <si>
    <t>EQQUALBERRY SWIMMING POOL DAILY FACIAL TONER - 155ML</t>
  </si>
  <si>
    <t>EQQUALBERRY SWIMMING POOL DAILY FACIAL TONER - 300ML</t>
  </si>
  <si>
    <t>EQQUALBERRY VITAMIN ILLUMINATING SERUM - 30ML</t>
  </si>
  <si>
    <t>ETHIGLO FACE WASH 70GM</t>
  </si>
  <si>
    <t>ETHISUN SUNSCREEN-100GM</t>
  </si>
  <si>
    <t>ETHISUN SUNSCREEN-200GM</t>
  </si>
  <si>
    <t>ETUDE CURL FIX MASCARA - #04 VOLUME MASCARA</t>
  </si>
  <si>
    <t>ETUDE DEAR DARLING WATER TINT - 01-STRAWBERRY ADE</t>
  </si>
  <si>
    <t>ETUDE DEAR DARLING WATER TINT - 02-CHERRY ADE</t>
  </si>
  <si>
    <t>ETUDE DEAR DARLING WATER TINT - 04-RED GRAPEFRUIT</t>
  </si>
  <si>
    <t>ETUDE DEAR DARLING WATER TINT - 06-POMEGRANATE ADE</t>
  </si>
  <si>
    <t>ETUDE DEAR DARLING WATER TINT - 09-WATERMELON ADE</t>
  </si>
  <si>
    <t>ETUDE – FIXING TINT – #07 CRANBERRY PLUM</t>
  </si>
  <si>
    <t>FAIRY SKIN TINTED SUNSCREEN SPF 50 PA ++++ SHEER COVERAGE- 50 GM</t>
  </si>
  <si>
    <t>FAITH IN NATURE DRAGON FRUIT SHAMPOO- 400ML</t>
  </si>
  <si>
    <t>FAITH IN NATURE TEA TREE CONDITIONER- 400ML</t>
  </si>
  <si>
    <t>FIXDERMA C-ENHANCE-25 SERUM 15ML</t>
  </si>
  <si>
    <t>FIXDERMA MOISTURISING LOTION 150ML</t>
  </si>
  <si>
    <t>FIXDERMA MOISTURIZING CREAM FOR DRY SKIN - 60 GM</t>
  </si>
  <si>
    <t>FIXDERMA NON DRYING CLEANSER-75 GM</t>
  </si>
  <si>
    <t>FIXDERMA SHADOW RX SPF 55+ CREAM 75GM</t>
  </si>
  <si>
    <t>FIXDERMA SHADOW SPF 30+ CREAM 75GM</t>
  </si>
  <si>
    <t>FIXDERMA SHADOW SPF 50+ CREAM 75GM</t>
  </si>
  <si>
    <t>FIXDERMA SHADOW SPF 50+ GEL 75GM</t>
  </si>
  <si>
    <t>FIXDERMA STRAWBERRY FACEWASH 75ML</t>
  </si>
  <si>
    <t>FIX MY CURLS LEAVE IN CREAM - 100GM</t>
  </si>
  <si>
    <t>FIX MY CURLS QUENCHING FLAX SEED GELLY - 100GM</t>
  </si>
  <si>
    <t>FIX MY CURLS QUENCHING FLAX SEED GELLY - 200GM</t>
  </si>
  <si>
    <t>FIX MY CURLS WEIGHTLESS WHIP VOLUMIZING MOUSSE - 100ML</t>
  </si>
  <si>
    <t>FLORMAR GLOW DROPS HIGHLIGHTER 01 MOON GLOW 14ML</t>
  </si>
  <si>
    <t>FRUDIA MY ORCHARD HAND CREAM [CITRON]-30G</t>
  </si>
  <si>
    <t>FRUDIA MY ORCHARD HAND CREAM [GRAPEFRUIT]-30G</t>
  </si>
  <si>
    <t>FRUDIA MY ORCHARD HAND CREAM [PASSION FRUIT]-30G</t>
  </si>
  <si>
    <t>FURR BY PEE SAFE BIKINI LINE TRIMMING RAZOR</t>
  </si>
  <si>
    <t>FURR BY PEE SAFE BODY SHAVING RAZOR</t>
  </si>
  <si>
    <t>FURR DUAL HEAD FACE RAZOR FOR WOMEN (3 RAZORS)</t>
  </si>
  <si>
    <t>FURR NOSE STRIPS</t>
  </si>
  <si>
    <t>FURR SCALP MASSAGER BRUSH</t>
  </si>
  <si>
    <t>GARNIER SKIN ACTIVE MICELLAR WATER - 400 ML</t>
  </si>
  <si>
    <t>GEGE BEAR 2 IN 1 CHEEK BLUSH STICK - #01 - 7G</t>
  </si>
  <si>
    <t>GEGE BEAR 2 IN 1 CHEEK BLUSH STICK - #02 - 7G</t>
  </si>
  <si>
    <t>GEGE BEAR FIBER CURLY MASCARA, #1 - 10G</t>
  </si>
  <si>
    <t>GLUTAFINE FACEWASH 70GM</t>
  </si>
  <si>
    <t>GOOD MOLECULES 10% NIACINAMIDE SERUM 30ML</t>
  </si>
  <si>
    <t>GOOD MOLECULES DISCOLORATION CORRECTING SERUM -30ML</t>
  </si>
  <si>
    <t>HADA LABO ADVANCED NOURISH CLEANSER, 80 GM</t>
  </si>
  <si>
    <t>HADA LABO ADVANCED NOURISH CLEANSING OIL 200ML</t>
  </si>
  <si>
    <t>HADA LABO ADVANCED NOURISH CREAM, 50 GM</t>
  </si>
  <si>
    <t>HADA LABO PERFECT TRANEXAMIC ACID WHITE CLEANSER- 80 GM</t>
  </si>
  <si>
    <t>HADA LABO PERFECT WHITE CREAM, 50 GM</t>
  </si>
  <si>
    <t>HADA LABO PERFECT WHITE TRANEXAMIC ACID LOTION 170ML</t>
  </si>
  <si>
    <t>HAIR 4U 5% SOLUTION 60ML</t>
  </si>
  <si>
    <t>HAORE SUNSCREEN GEL BASED 50+++, 60GM</t>
  </si>
  <si>
    <t>HARUHARU  BLACK RICE PURE MINERAL RELIEF DAILY SUNSCREEN, 50ML</t>
  </si>
  <si>
    <t>HARUHARU WONDER-BLACK RICE HYALURONIC TONER - 150ML</t>
  </si>
  <si>
    <t>HIMALAYA LIP BALM 10G</t>
  </si>
  <si>
    <t>HUMEDA LIGHTENING FACE WASH 80 GM</t>
  </si>
  <si>
    <t>HUMEDA RADIANCE UV CREAM 50 GM</t>
  </si>
  <si>
    <t>HYALU GEL 30GM</t>
  </si>
  <si>
    <t>IKONIC ME TRAVEL EXPRESS HAIR DRYER</t>
  </si>
  <si>
    <t>I'M FROM RICE TONER - 150ML</t>
  </si>
  <si>
    <t>ISLAND MAGIC EXTRA VIRGIN COCONUT OIL, 200ML</t>
  </si>
  <si>
    <t>ISNTREE HYALURONIC ACID WATERY SUN GEL MINI - 10ML</t>
  </si>
  <si>
    <t>ISNTREE HYPER RETINOL EX 1.0 SERUM 20ML</t>
  </si>
  <si>
    <t>ISNTREE ULTRA LOW MOLECULAR HYALURONIC ACID SERUM - 50ML</t>
  </si>
  <si>
    <t>ISNTREE ULTRA LOW MOLECULAR HYALURONIC ACID TONER - 300ML</t>
  </si>
  <si>
    <t>IUNIK CENTELLA CALMING DAILY SUNSCREEN - 60ML</t>
  </si>
  <si>
    <t>JINA ALCHEMY ABOVE &amp; BEYOND FACIAL OIL 50ML</t>
  </si>
  <si>
    <t>JINA ALCHEMY CLEANSING BALM MAKEUP REMOVER, 100 G</t>
  </si>
  <si>
    <t>JINA ALCHEMY THIRD EYE HAIR OIL 50ML</t>
  </si>
  <si>
    <t>JULIA POP NATURAL BRONZER LIQUID CONTOUR - 01 LIGHT GOLD</t>
  </si>
  <si>
    <t>JULIA POP NATURAL BRONZER LIQUID CONTOUR - 03 BRONZED</t>
  </si>
  <si>
    <t>JULIA POP NATURAL LUSTER LIQUID BLUSH - 04 RASPBERRY</t>
  </si>
  <si>
    <t>JUMISO SNAIL MUCIN 88 + PEPTIDE FACIAL CREAM, 100ML</t>
  </si>
  <si>
    <t>JUMISO SNAIL MUCIN 95+ PEPTIDE FACIAL ESSENCE - 140ML</t>
  </si>
  <si>
    <t>KARSEELL COLLAGEN HAIR TREATMENT DEEP REPAIR HAIR MASK - 500 ML</t>
  </si>
  <si>
    <t>KARSEELL MACA ESSENCE MOISTURE SHAMPOO FOR DRY&amp;DAMAGED HAIR 500ML</t>
  </si>
  <si>
    <t>KARSEELL MACA ESSENCE OIL FOR BODY AND DAMAGED HAIR- 50ML</t>
  </si>
  <si>
    <t>Karseell Maca Power Purple Hair Mask 500 ML for All Hair Type</t>
  </si>
  <si>
    <t>KEJJAN'S GENTLE SKIN CLEANSER 250ML</t>
  </si>
  <si>
    <t>KEJJAN'S GENTLE SKIN CLEANSER 50ML</t>
  </si>
  <si>
    <t>KLEIDA FOAMING FACEWASH - 100GM</t>
  </si>
  <si>
    <t>KLEIDA SKIN LIGHTENING MOISTURISER 100GM</t>
  </si>
  <si>
    <t>KLEIDA SUNSAFE INVISIBLE SUNSCREEN SPF PA +++ 50+-50GM</t>
  </si>
  <si>
    <t>K-SECRET SEOUL 1988 CREAM : RETINAL LIPSOME 1%+FERMENTED RICE-50ML/1.69FL.OZ</t>
  </si>
  <si>
    <t>K-SECRET SEOUL 1988 ESSENCE SNAIL MUCIN 97% + RICE - 100 ML</t>
  </si>
  <si>
    <t>K-SECRET SEOUL 1988 EYE CREAM :RETINAL LIPOSOME 4%,FERMENTED BEAN, 30ML</t>
  </si>
  <si>
    <t>K-SECRET SEOUL 1988 SERUM: RETINAL LIPSOME 2% + BLACK GINSENG-30ML/1.01FL.OZ</t>
  </si>
  <si>
    <t>LA COLORS FACE PRIMER 15ML -288 CLEAR</t>
  </si>
  <si>
    <t>LA COLORS GEL EYELINER CP630-MIDNIGHT BLACK</t>
  </si>
  <si>
    <t>L.A. COLORS GEL EYELINER CP639-ROSE GOLD SHIMMER</t>
  </si>
  <si>
    <t>L.A. COLORS  GEL LIPLINER  CAFE CP676</t>
  </si>
  <si>
    <t>L.A. COLORS GEL LIP LINER-FIGGY 681</t>
  </si>
  <si>
    <t>L.A. COLORS GEL LIPLINER MY FAVORITE NUDE CP674</t>
  </si>
  <si>
    <t>L.A. COLORS  GEL LIPLINER  ROSE ALL DAY CP675</t>
  </si>
  <si>
    <t>L.A. COLORS GLOSSY LIP GLOSS CBLG806 POPCICAL DREAM 15ML</t>
  </si>
  <si>
    <t>L.A. COLORS GLOSSY LIP SHEER 15 ML - TROPICAL PUNCH (CBLG802)</t>
  </si>
  <si>
    <t>LA COLORS GLOSSY LIPS SHEER 15ML -CBLG801 JAMMIN JELLY</t>
  </si>
  <si>
    <t>L.A. COLORS NAIL FRILL 2G NATURAL NUDE CNT91</t>
  </si>
  <si>
    <t>L.A. COLORS NEON GEL EYELINER CP635-FLASH WHITE</t>
  </si>
  <si>
    <t>L.A. COLORS RAD ROUGE 4.5G CBL731 - CHILL</t>
  </si>
  <si>
    <t>LA COLORS ROLL ON LIP OIL 6.3ML -C68226 SHEER BERRY</t>
  </si>
  <si>
    <t>L.A. COLORS ROLL ON LIP OIL 6.3 ML - SHEER PINK (C68225)</t>
  </si>
  <si>
    <t>LA COLORS TRANSLUCENT SETTING POWDER -370</t>
  </si>
  <si>
    <t>LA COLORS TRULY MATTE FOUNDATION 40ML-357 GOLDEN BEIGE</t>
  </si>
  <si>
    <t>L.A. GIRL BB CREAM 30ML - NEUTRAL (944)</t>
  </si>
  <si>
    <t>L.A. GIRL BROW POMADE (DARK BROWN)</t>
  </si>
  <si>
    <t>L.A. GIRL GEL EYELINER 3GM GEL - JET BLACK (731)</t>
  </si>
  <si>
    <t>L.A. GIRL HD PRO CONCEALER (ORANGE)</t>
  </si>
  <si>
    <t>L.A. GIRL HD PRO CONCEALER (CLASSIC IVORY)</t>
  </si>
  <si>
    <t>L.A. GIRL KEEP IT PLAYFUL EYESHADOW PALETTE (PLAYTIME)</t>
  </si>
  <si>
    <t>L.A. GIRL LIP PLUMPER 13ML</t>
  </si>
  <si>
    <t>L.A GIRL PRIMER SPRAY 2.7OZ</t>
  </si>
  <si>
    <t>L.A. GIRL PRO COVERAGE ILLUMINATING FOUNDATION (FAIR)</t>
  </si>
  <si>
    <t>L.A. GIRL PRO EYESHADOW PALETTE (MASTERY)</t>
  </si>
  <si>
    <t>L.A. GIRL PRO.PREP PRIMER 0.5OZ (GFP949)</t>
  </si>
  <si>
    <t>LA. GIRL PRO SETTING SPRAY 1OZ</t>
  </si>
  <si>
    <t>L.A. GIRL PRO SETTING SPRAY 80 ML</t>
  </si>
  <si>
    <t>L.A. GIRL VOLUMATIC MASCARA</t>
  </si>
  <si>
    <t>LAKME EYECONIC KAJAL, DEEP BLACK, 0.35G</t>
  </si>
  <si>
    <t>LAYER'R WOTTAGIRL AMBER KISS BODY SPLASH FOR WOMEN, 135ML</t>
  </si>
  <si>
    <t>LAYER'R WOTTAGIRL SANDAL BLISS FRAGRANT BODY SPLASH- 135 ML</t>
  </si>
  <si>
    <t>LAYER'R WOTTAGIRL SECRET CRUSH BODY SPLASH FOR WOMEN, 135ML</t>
  </si>
  <si>
    <t>LAYER'R WOTTAGIRL VANILLA TWIST BODY SPLASH FOR WOMEN, 135ML</t>
  </si>
  <si>
    <t>LIPIDZ- LIPID REPLENISHING CREAM 100GM</t>
  </si>
  <si>
    <t>LIPIDZ- LIPID REPLENISHING CREAM 50GM</t>
  </si>
  <si>
    <t>LIPZLITE - LIP LIGHTENING CREAM, 15GM</t>
  </si>
  <si>
    <t>LIPZ MOISTURIZER WITH SPF 15 - 9 GM</t>
  </si>
  <si>
    <t>LISAP ULTIMATE SHAMPOO (FOR STRAIGHT HAIR)- 1000 ML</t>
  </si>
  <si>
    <t>LIVON DAMAGE PROTECT 100 ML</t>
  </si>
  <si>
    <t>L'OREAL PARIS COLOR PROTECT SHAMPOO, 340 ML</t>
  </si>
  <si>
    <t>L'OREAL PARIS EXTRAORDINARY OIL CONDITIONER (RAPID)- 180ML</t>
  </si>
  <si>
    <t>L'OREAL PARIS EXTRAORDINARY OIL NOURISHING CONDITIONER - 175 ML</t>
  </si>
  <si>
    <t>L'OREAL PARIS HYALURON 72H MOISTURE FILLING SHAMPOO - 340ML</t>
  </si>
  <si>
    <t>L'OREAL PARIS INFALIABLE FOUNDATION 32 HOURS - 30ML (120)</t>
  </si>
  <si>
    <t>L'OREAL PARIS INFALIABLE FOUNDATION 32 HOURS - 30ML (140)</t>
  </si>
  <si>
    <t>L'OREAL PARIS INFALIABLE FOUNDATION 32 HOURS - 30ML (200)</t>
  </si>
  <si>
    <t>L'OREAL PARIS INFALIABLE FOUNDATION 32 HOURS - 30ML (220)</t>
  </si>
  <si>
    <t>L'OREAL PARIS TOTAL REPAIR 5  REPAIRING SHAMPOO- 340 ML</t>
  </si>
  <si>
    <t>MAYBELLINE BABYSKIN PRIMER 20ML</t>
  </si>
  <si>
    <t>MAYBELLINE FIT ME FOUNDATION MATTE 1OZ - BUFF BEIGE (130)</t>
  </si>
  <si>
    <t>MAYBELLINE FIT ME FOUNDATION MATTE 1OZ - CLASSIC IVORY (120)</t>
  </si>
  <si>
    <t>MAYBELLINE FIT ME FOUNDATION MATTE 1OZ - NATURAL BEIGE (220)</t>
  </si>
  <si>
    <t>MAYBELLINE FIT ME FOUNDATION MATTE PORELESS -128 WARM NUDE</t>
  </si>
  <si>
    <t>MAYBELLINE FIT ME LOOSE POWDER 20G- 20 LIGHT MEDIUM</t>
  </si>
  <si>
    <t>MAYBELLINE FIT ME POWDER 8.5G -220 NATURAL BEIGE</t>
  </si>
  <si>
    <t>MAYBELLINE GRIPPY SERUM 30ML</t>
  </si>
  <si>
    <t>MAYBELLINE LIFTER GLOSS 5.4ML- 008 STONE</t>
  </si>
  <si>
    <t>MAYBELLINE LIFTER LIPGLOSS PLUM 5.4ML 001-BLUSH BLAZE</t>
  </si>
  <si>
    <t>MAYBELLINE LIFTER LIPGLOSS PLUM 5.4ML 005-PEACH FAVOUR</t>
  </si>
  <si>
    <t>MAYBELLINE MASTER PRIMER 30ML-050</t>
  </si>
  <si>
    <t>MAYBELLINE SUPERSTAY LIPSTICK 115 - FOUNDER</t>
  </si>
  <si>
    <t>MAYBELLINE SUPERSTAY LIPSTICK 120 - ARTIST</t>
  </si>
  <si>
    <t>MAYBELLINE SUPERSTAY LIPSTICK 155 - SAVANT</t>
  </si>
  <si>
    <t>MAYBELLINE SUPERSTAY LIPSTICK 20 - PIONEER</t>
  </si>
  <si>
    <t>MAYBELLINE SUPERSTAY LIPSTICK 50 - VOYAGER</t>
  </si>
  <si>
    <t>MAYBELLINE SUPERSTAY MATTE INK LIQUID LIPSTICK 70 AMAZONIAN 5ML</t>
  </si>
  <si>
    <t>MAYBELLINE SUPERSTAY VINYL INK LIPSTICK 4.2ML- PEPPY (115 )</t>
  </si>
  <si>
    <t>MAYBELLINE ULTIMATE MATTE LIPSTICK 1.7G - MORE RUST (899)</t>
  </si>
  <si>
    <t>MEDICUBE COLLAGEN JELLY CREAM - 110ML</t>
  </si>
  <si>
    <t>MEDICUBE COLLAGEN LIFTING MASK, 27GM</t>
  </si>
  <si>
    <t>MEDICUBE COLLAGEN OVERNIGHT WRAPPING PEEL OFF FACIAL MASK - 75ML</t>
  </si>
  <si>
    <t>MEDICUBE – DEEP VITA C CAPSULE CREAM [55G]</t>
  </si>
  <si>
    <t>MEDICUBE – JELLY BRUSH</t>
  </si>
  <si>
    <t>MEDICUBE PDRN PINK COLLAGEN CAPSULE CREAM, 55GM</t>
  </si>
  <si>
    <t>MEDICUBE – PDRN PINK COLLAGEN GEL MASK [28G X 1 SHEET]</t>
  </si>
  <si>
    <t>MEDICUBE – PDRN PINK PEPTIDE SERUM [30ML]</t>
  </si>
  <si>
    <t>MEDICUBE TXA NIACINAMIDE 15 SERUM, 30ml</t>
  </si>
  <si>
    <t>MELANO CC BRIGHTENING ESSENCE, 20ML</t>
  </si>
  <si>
    <t>MELANO CC BRIGHTENING LOTION, 170ML</t>
  </si>
  <si>
    <t>MELANO CC RICH MOISTURIZING CREAM- 100G</t>
  </si>
  <si>
    <t>MENSTRUAL CUP- LARGE (PEESAFE)</t>
  </si>
  <si>
    <t>MENSTRUAL CUP- MEDIUM (PEESAFE)</t>
  </si>
  <si>
    <t>MILANI CONCEAL + PERFECT 2-IN-1 FOUNDATION AND CONCEALER 02</t>
  </si>
  <si>
    <t>MILANI CONCEAL + PERFECT LONGWEAR CONCEALER 5ML -150 NATURAL SAND</t>
  </si>
  <si>
    <t>MILANI CONCEAL + SHINE PROOF POWDER 0.43OZ - 01 FAIR</t>
  </si>
  <si>
    <t>MILANI CONCEAL + SHINE PROOF POWDER 0.43OZ - 04 NATURAL</t>
  </si>
  <si>
    <t>MILANI CONCEAL + SHINE PROOF POWDER 0.43OZ - 05 NATURAL BEIGE</t>
  </si>
  <si>
    <t>MILANI MAKE IT LAST ORIGINAL FINISH SETTING SPRAY - 60ML</t>
  </si>
  <si>
    <t>MILANI MAKE IT LAST ORIGINAL FINISH SETTING SPRAY - 60ML  (2)</t>
  </si>
  <si>
    <t>MILANI PERFECT 2 IN ONE FOUNDATION + CONCEALER FOUNDATION 04</t>
  </si>
  <si>
    <t>MILANI PERFECT 2 IN ONE FOUNDATION + CONCEALER FOUNDATION 05</t>
  </si>
  <si>
    <t>MINIMALIST LIGHT FLUID SPF 50 FACE SUNSCREEN - 50ML</t>
  </si>
  <si>
    <t>MINIMALIST RETINOL 0.6% MID-STRENGTH ANTI AGING FACE SERUM 30ML</t>
  </si>
  <si>
    <t>MIXSOON BEAN ESSENCE - 30ML</t>
  </si>
  <si>
    <t>MOISTCOM GOLD ANTI AGEING MOISTURISER 100 Ml</t>
  </si>
  <si>
    <t>MOISTCOM LITE SKIN LIGHTENING MOISTURIZER 100GM</t>
  </si>
  <si>
    <t>MOISTCOM MOISTURISING CREAM GEL - 100ML</t>
  </si>
  <si>
    <t>NIVEA WHITENING TONER 200Ml</t>
  </si>
  <si>
    <t>NUMBUZIN NO.1 CLEAR FILTER SUN ESSENCE - 50ML</t>
  </si>
  <si>
    <t>NUMBUZIN NO.4 COLLAGEN 73% PUDDING SERUM - 50ML</t>
  </si>
  <si>
    <t>NUMBUZIN NO.5 GOODBYE BLEMISH SERUM - 50ML</t>
  </si>
  <si>
    <t>NUMBUZIN NO.5 VITAMIN CONCENTRATED SERUM - 30ML</t>
  </si>
  <si>
    <t>PADELUX PANTY LINER 20PCS</t>
  </si>
  <si>
    <t>PAX MOLY HYALURONIC ACID MASK PACK</t>
  </si>
  <si>
    <t>PAX MOLY KOREAN REAL VITAMIN C FACE MASK</t>
  </si>
  <si>
    <t>PAX MOLY REAL COLLAGEN MASK PACK</t>
  </si>
  <si>
    <t>PAX MOLY REAL SNAIL FACE MASK</t>
  </si>
  <si>
    <t>PEE SAFE ALOE VERA PANTY LINERS PACK OF 20</t>
  </si>
  <si>
    <t>PEE SAFE HERBAL PERIOD CRAMP RELIEF PATCHES– 5N</t>
  </si>
  <si>
    <t>PEESAFE NATURAL INTIMATE WASH 105 ML (WOMEN)</t>
  </si>
  <si>
    <t>PERIPERA INK AIRY VELVET AD - #21 FLUFFY PEACH</t>
  </si>
  <si>
    <t>PILGRIM KOREAN RICE WATER &amp; COLLAGEN ADVANCED DAMAGE REPAIR SHAMPOO (400ML)</t>
  </si>
  <si>
    <t>PILGRIM KOREAN RICE WATER HYDRA GLOW MOISTURIZER - 100GM</t>
  </si>
  <si>
    <t>PILGRIM KOREAN WHITE LOTUS TINTED SUNSCREEN SPF 50+ PA++++ 50 ML</t>
  </si>
  <si>
    <t>PILGRIM PATUA KERATIN &amp; AMAZONIA PATUA SMOOTHING SHAMPOO 400ML</t>
  </si>
  <si>
    <t>PILGRIM TEA TREE NON-DRYING ANTI-DANDRUFF SHAMPOO- 200ML</t>
  </si>
  <si>
    <t>PINKFLASH CHIC IN CHEEK - P03</t>
  </si>
  <si>
    <t>PINKFLASH DOUBLE NOSE SHADOW EYESHADOW BRUSH</t>
  </si>
  <si>
    <t>PINKFLASH EYEBROW BAZOR - ER00</t>
  </si>
  <si>
    <t>PINKFLASH FLAME SHAPE BLUSH BRUSH</t>
  </si>
  <si>
    <t>PINKFLASH GLOSSY LIQUID LIPGLOSS - C01</t>
  </si>
  <si>
    <t>PINKFLASH GLOSSY LIQUID LIPGLOSS - G01</t>
  </si>
  <si>
    <t>PINKFLASH GLOSSY LIQUID LIPGLOSS - S01</t>
  </si>
  <si>
    <t>PINKFLASH HYDRALOCK LIPBALM – 04</t>
  </si>
  <si>
    <t>PINKFLASH LIQUID MATTE LIPCREAM - O01</t>
  </si>
  <si>
    <t>PINKFLASH LIQUID MATTE LIPCREAM - P01</t>
  </si>
  <si>
    <t>PINKFLASH LONG-WEAR LIQUID EYELINER - BK01</t>
  </si>
  <si>
    <t>PINKFLASH MAKE-UP PUFF - TL02</t>
  </si>
  <si>
    <t>PINKFLASH MAKUP BAG - HZ01</t>
  </si>
  <si>
    <t>PINKFLASH PRECISION EYEBROW PENCIL - 01</t>
  </si>
  <si>
    <t>PINKFLASH SHIMMER HIGHLIGHTER &amp; MATTE COUNTOUR POWDER - S02</t>
  </si>
  <si>
    <t>PINKFLASH WATERPROOF KAJAL EEYLINER PENCIL - WT01</t>
  </si>
  <si>
    <t>PINKFLASH WATERPROOF KAJAL EYELINER PENCIL - NU01</t>
  </si>
  <si>
    <t>PINKFLASH WATERY TRANSFERPROOF LIP CREAM - NU01</t>
  </si>
  <si>
    <t>PINKFLASH W/P WOW B ROW COLOR PENCIL - 03</t>
  </si>
  <si>
    <t>PLUM 2% NIACINAMIDE &amp; RICE WATER SIMPLY BRIGHT FACE WASH - 100G</t>
  </si>
  <si>
    <t>PLUM 2% NIACINAMIDE &amp; RICE WATER SPF 50 PA+++ SUNSCREEN-80G</t>
  </si>
  <si>
    <t>PLUM ALOE VERA MULTI USE GEL- 150 ML</t>
  </si>
  <si>
    <t>PLUM BODYLOVIN' MARSHMALLOW MELT BODY LOTION-400 ML</t>
  </si>
  <si>
    <t>PLUM BODYLOVIN' VANILLA VIBES BODY MIST, 150ML</t>
  </si>
  <si>
    <t>PLUM BODYLOVIN' VANILLA VIBES BODY OIL (200 ML)</t>
  </si>
  <si>
    <t>PLUM BODYLOVIN' VANILLA VIBES BODY WASH- 240ML</t>
  </si>
  <si>
    <t>PLUM BODYLOVIN VANILLA VIBES DEODORANT ROLL ON- 50 ML</t>
  </si>
  <si>
    <t>PLUM BODYLOVIN' VANILLA VIBES EAU DE PARFUM - 15ML</t>
  </si>
  <si>
    <t>PLUM BODYLOVIN' VANILLA VIBES EAU DE PERFUME (PARFUM)50mll</t>
  </si>
  <si>
    <t>PLUM CANDY MELTS VEGAN LIP BALM - BERRY FEAST</t>
  </si>
  <si>
    <t>PLUM CANDY MELTS VEGAN LIP BALM - RED VELVET LOVE, 12G</t>
  </si>
  <si>
    <t>PLUM CICA &amp; HYALURONIC ACID AQUA-LIGHT SUNSCREEN (SPF 50 PA+++) 50 G</t>
  </si>
  <si>
    <t>PLUM COCONUT MILK &amp; PEPTIDES STRENGTH &amp; SHINE SHAMPOO - 250ML</t>
  </si>
  <si>
    <t>PLUM GOODNESS COCONUT MILK &amp; PEPTIDES STRENGTH &amp; SHINE CONDITIONER 175G</t>
  </si>
  <si>
    <t>PLUM GREEN TEA OIL FREE MOISTURIZER, 50ML</t>
  </si>
  <si>
    <t>PLUM GREEN TEA &amp; ZINC SUPER-MATTE GEL SUNSCREEN SPF 50+++ - 50GM</t>
  </si>
  <si>
    <t>PLUM MANDARIN &amp; VITAMIN C 1.5% TONER 100ML</t>
  </si>
  <si>
    <t>PLUM RICE WATER &amp; 3 % NIACINAMIDE SHEER-TINTED SUNSCREEN-50GM</t>
  </si>
  <si>
    <t>PLUM RICE WATER &amp; NIACINAMIDE CLEAR MOISTURE GEL CREAM -50 GM</t>
  </si>
  <si>
    <t>PLUM SQUALANE &amp; VITAMIN E DEWY-BRIGHT SUNSCREEN SPF 50 PA+++</t>
  </si>
  <si>
    <t>PLUM VANILLA CARAMELLO BODY LOTION-400ML</t>
  </si>
  <si>
    <t>PURITO SEOUL MIGHTY BAMBOO PANTHENOL CLEANSER 150ML</t>
  </si>
  <si>
    <t>RAYSTOP 50SPF LOTION 100GM</t>
  </si>
  <si>
    <t>RAYSTOP 50SPF LOTION 50GM</t>
  </si>
  <si>
    <t>RENEE EAU DE PARFUM BLOOM, 15ML</t>
  </si>
  <si>
    <t>RETIDERM 0.025% GEL 20GM</t>
  </si>
  <si>
    <t>RETIDERM 0.05% GEL 20GM</t>
  </si>
  <si>
    <t>ROUND LAB BIRCH JUICE MOISTURIZING SUN CREAM SPF50+++ 50ML</t>
  </si>
  <si>
    <t>ROUND LAB DOKDO CLEANSER 150ML</t>
  </si>
  <si>
    <t>SCHWARZKOPF BC COLOR FREEZE CONDITIONER -200 ML</t>
  </si>
  <si>
    <t>SCHWARZKOPF BC REPAIR RESCUE SHAMPOO – 250ML</t>
  </si>
  <si>
    <t>SCHWARZKOPF BC ROOT ACTIVATION SHAMPOO - 250 ML</t>
  </si>
  <si>
    <t>SCHWARZKOPF COLOR FREEZE TREATMENT- 200 ML</t>
  </si>
  <si>
    <t>SCHWARZKOPF OSIS+ FLATLINER - 200 ML</t>
  </si>
  <si>
    <t>SCHWARZKOPF OSIS+ SESSION LABEL FLEXIBLE HOLD HAIRSPRAY 300ML</t>
  </si>
  <si>
    <t>SCHWARZKOPF PROFESSIONAL BC BONACURE FRIZZ AWAY CONDITIONER 200 ML</t>
  </si>
  <si>
    <t>SCHWARZKOPF PROFESSIONAL BC CP COLOR FREEZE PH 4.5 SHAMPOO 250 ML</t>
  </si>
  <si>
    <t>SCINIC ENJOY FOUNDATION-SKIP TONE UP TINTED SUN CREAM, 50GM</t>
  </si>
  <si>
    <t>SCINIC ENJOY SUPER ACTIVE AIRY SUN STICK, 15GM</t>
  </si>
  <si>
    <t>SELSUN ANTI DANDRUFF SHAMPOO 100ML</t>
  </si>
  <si>
    <t>SELSUN ANTI-DANDRUFF SHAMPOO- 250ML</t>
  </si>
  <si>
    <t>SELSUN ANTI DANDRUFF SHAMPOO 50ML</t>
  </si>
  <si>
    <t>SHISEIDO FINO PREMIUM TOUCH CONDITIONER, 550ML</t>
  </si>
  <si>
    <t>SHISEIDO FINO PREMIUM TOUCH HAIR MASK - 230G</t>
  </si>
  <si>
    <t>SHISEIDO FINO PREMIUM TOUCH PENETRATION ESSENCE HAIR OIL - 70ML</t>
  </si>
  <si>
    <t>SHISEIDO FINO PREMIUM TOUCH SHAMPOO, 550ML</t>
  </si>
  <si>
    <t>SHISEIDO TSUBAKI PREMIUM EX REPAIR HAIR MASK, 180GM</t>
  </si>
  <si>
    <t>SINOZ 24K GOLD BEAUTY SERUM 30ML</t>
  </si>
  <si>
    <t>SINOZ HYDRAPRO INTENSE REPAIR MOISTURIZING LOTION -400ML</t>
  </si>
  <si>
    <t>SINOZ PERFECT FACE CLEANSING OIL 400ML</t>
  </si>
  <si>
    <t>SINOZ PINK TOUCH FLUID SUNSCREEN SPF 50+ 50ML</t>
  </si>
  <si>
    <t>SINOZ VITAMIN C SERUM 10% 30 ML</t>
  </si>
  <si>
    <t>SKIN1004 MADAGASCAR CENTELLA AIR-FIT SUNCREAM LIGHT - 50ML</t>
  </si>
  <si>
    <t>SKIN1004 MADAGASCAR CENTELLA AIR-FIT SUNCREAM PLUS - 50ML</t>
  </si>
  <si>
    <t>SKIN1004 MADAGASCAR CENTELLA  AMPOULE- 30ML</t>
  </si>
  <si>
    <t>SKIN1004 MADAGASCAR CENTELLA AMPOULE FOAM 125ML</t>
  </si>
  <si>
    <t>SKIN1004 MADAGASCAR CENTELLA ASIATICA AMPOULE - 55ML</t>
  </si>
  <si>
    <t>SKIN1004 MADAGASCAR CENTELLA CREAM 75ML</t>
  </si>
  <si>
    <t>SKIN1004 MADAGASCAR CENTELLA HYALU-CICA BLUE SERUM 50 ML</t>
  </si>
  <si>
    <t>SKIN1004 MADAGASCAR CENTELLA HYALU-CICA BRIGHTENING TONER 210ML</t>
  </si>
  <si>
    <t>SKIN1004 MADAGASCAR CENTELLA HYALU-CICA FIRST AMPOULE - 100ML</t>
  </si>
  <si>
    <t>SKIN1004 MADAGASCAR CENTELLA HYALU-CICA FIRST AMPOULE -50ML</t>
  </si>
  <si>
    <t>SKIN1004 MADAGASCAR CENTELLA HYALU-CICA SILKY FIT SUN STICK - 20GM</t>
  </si>
  <si>
    <t>SKIN1004 MADAGASCAR CENTELLA HYALU-CICA WATER FIT SUN SERUM - 50ML</t>
  </si>
  <si>
    <t>SKIN1004 MADAGASCAR CENTELLA LIGHT CLEANSING OIL- 200ML</t>
  </si>
  <si>
    <t>SKIN1004 MADAGASCAR CENTELLA POREMIZING CLARIFYING MASK 23ML</t>
  </si>
  <si>
    <t>SKIN1004 MADAGASCAR CENTELLA POREMIZING DEEP CLEANSING FOAM 125ML</t>
  </si>
  <si>
    <t>SKIN1004 MADAGASCAR CENTELLA PROBIO-CICA BAKUCHIOL EYE CREAM-20ML</t>
  </si>
  <si>
    <t>SKIN1004 MADAGASCAR CENTELLA PROBIO-CICA GLOW SUN AMPOULE SPF50+ PA++++, 50ML</t>
  </si>
  <si>
    <t>SKIN1004 MADAGASCAR CENTELLA SOOTHING CREAM 75ML</t>
  </si>
  <si>
    <t>SKIN1004 MADAGASCAR CENTELLA TONE BRIGHTENING CAPSULE AMPOULE-100ML</t>
  </si>
  <si>
    <t>SKIN1004 MADAGASCAR CENTELLA TONE BRIGHTENING TONE UP SUNSCREEN 50ML</t>
  </si>
  <si>
    <t>SKIN1004 MADAGASCAR CENTELLA TONING TONER 210ML</t>
  </si>
  <si>
    <t>SOME BY MI 30 DAYS MIRACLE CLEAR SPOT PATCH</t>
  </si>
  <si>
    <t>SOME BY MI REAL CARE SHEET MASK- AHA BHA PHA CALMING</t>
  </si>
  <si>
    <t>SUNPLAY BABY MILD SUNSCREEN SPF 35 PA ++, 30ML</t>
  </si>
  <si>
    <t>SUNPLAY NATURAL GEL- 70 GM</t>
  </si>
  <si>
    <t>SUNPLAY SKIN AQUA ACNE MILK 25G</t>
  </si>
  <si>
    <t>SUNPLAY SKIN AQUA CLEAR WHITE, 25GM</t>
  </si>
  <si>
    <t>SUNPLAY SKIN AQUA CLEAR WHITE CC MILK 25G</t>
  </si>
  <si>
    <t>SUNPLAY SKIN AQUA CLEAR WHITE GEL, 55GM</t>
  </si>
  <si>
    <t>SUNPLAY SKIN AQUA MOISTURIZING SERUM 75ML</t>
  </si>
  <si>
    <t>SUNPLAY SKIN AQUA SILKY WHITE GEL, 30GM</t>
  </si>
  <si>
    <t>SUNPLAY SKIN AQUA SILKY WHITE GEL, 70GM</t>
  </si>
  <si>
    <t>SUNPLAY SKIN AQUA TONE UP UV ESSENCE, 50GM (LAVENDER)</t>
  </si>
  <si>
    <t>SUNPLAY SKIN AQUA TONE UP UV ESSENCE (LATTE BEIGE)</t>
  </si>
  <si>
    <t>SUNPLAY SKIN AQUA UV MOISTURE MILK 30G</t>
  </si>
  <si>
    <t>SUNPLAY SKIN AQUA UV SUNSCREEN WHITENING LOTION, 150GM</t>
  </si>
  <si>
    <t>SUNPLAY SUPERBLOCK - 30 ML</t>
  </si>
  <si>
    <t>SUNPLAY UV WHITENING- 70 ML</t>
  </si>
  <si>
    <t>SUNSCOOP KIDS 100% MINERAL SUNSCREEN LOTION SPF 30+ PA++++, 75ML</t>
  </si>
  <si>
    <t>SWEATNIL ANTI-PERSPIRANT GEL - 50ML</t>
  </si>
  <si>
    <t>SWEATNIL ANTI-PERSPIRANT ROLL ON 50ML (WITH DEPIGMENTATION)</t>
  </si>
  <si>
    <t>TECHNIC CHEEK GEL BLUSHER-COY- 10 ML</t>
  </si>
  <si>
    <t>TECHNIC COLOUR FIX BRONZE PALETTE</t>
  </si>
  <si>
    <t>THE FACE SHOP REAL NATURE FACE SHEET MASK 20G- ALOE</t>
  </si>
  <si>
    <t>THE FACE SHOP REAL NATURE FACE SHEET MASK 20G- AVOCADO</t>
  </si>
  <si>
    <t>THE FACE SHOP REAL NATURE FACE SHEET MASK 20G- BLUEBERRY</t>
  </si>
  <si>
    <t>THE FACE SHOP REAL NATURE FACE SHEET MASK 20G- CUCUMBER</t>
  </si>
  <si>
    <t>THE FACE SHOP REAL NATURE FACE SHEET MASK 20G- HONEY</t>
  </si>
  <si>
    <t>THE FACE SHOP REAL NATURE FACE SHEET MASK 20G- LEMON</t>
  </si>
  <si>
    <t>THE FACE SHOP REAL NATURE FACE SHEET MASK 20G- MUNG BEAN</t>
  </si>
  <si>
    <t>THE FACE SHOP REAL NATURE FACE SHEET MASK 20G- SHEA BUTTER</t>
  </si>
  <si>
    <t>THE FACE SHOP REAL NATURE FACE SHEET MASK 20G- TEA TREE</t>
  </si>
  <si>
    <t>THE FACE SHOP THE SOLUTION BRIGHTENING MASK</t>
  </si>
  <si>
    <t>THE FACE SHOP THE SOLUTION DOUBLE-UP PORE CARE MASK</t>
  </si>
  <si>
    <t>THE FACE SHOP THE SOLUTION HYDRATING MASK</t>
  </si>
  <si>
    <t>THE ORDINARY NIACINAMIDE 10% +ZINC 1% (30 ML)</t>
  </si>
  <si>
    <t>THE PUREST SOLUTIONS EXFOLIATING SALICYLIC ACID CLEANSER- 400ML</t>
  </si>
  <si>
    <t>THE PUREST SOLUTIONS EXFOLIATING SALICYLIC ACID CLEANSER- 50ML</t>
  </si>
  <si>
    <t>THE PUREST SOLUTIONS GLYCOLIC ACID PURIFYING TONER AHA + BHA - EXFOLIATING AND CLARIFYING TONER-50ML</t>
  </si>
  <si>
    <t>THE PUREST SOLUTIONS HYDRATING GENTLE FACIAL CLEANSER- 200ML.</t>
  </si>
  <si>
    <t>THE PUREST SOLUTIONS HYDRATING GENTLE FACIAL CLEANSER- 50ML</t>
  </si>
  <si>
    <t>THE PUREST SOLUTIONS HYDROCOLLOID INVISIBLE SPOT PATCHES</t>
  </si>
  <si>
    <t>THE PUREST SOLUTIONS INTENSIVE HYDRATION SERUM- 8ML</t>
  </si>
  <si>
    <t>THE PUREST SOLUTIONS REFINE &amp; GLOW TONER-200ML</t>
  </si>
  <si>
    <t>THE PUREST SOLUTIONS VITAMIN B COMPLEX SERUM 10%-30ML</t>
  </si>
  <si>
    <t>TIRTIR-MASK FIT ALL COVER PINK CUSHION MINI – 21W NATURAL IVORY</t>
  </si>
  <si>
    <t>TIRTIR- MASK FIT MAKE UP FIXER – (80ML)</t>
  </si>
  <si>
    <t>TIRTIR-MASK FIT RED CUSHION – 23N SAND</t>
  </si>
  <si>
    <t>TIRTIR – MASK FIT RED CUSHION MINI-21N [IVORY]</t>
  </si>
  <si>
    <t>TIRTIR-MASK FIT RED CUSHION MINI – 21W NATURAL IVORY</t>
  </si>
  <si>
    <t>TIRTIR MASK FIT RED CUSHION MINI – 23N SAND</t>
  </si>
  <si>
    <t>TIRTIR-MASK FIT RED CUSHION MINI – 27N CAMEL</t>
  </si>
  <si>
    <t>TIRTIR-MILK SKIN LIGHT TONER – 150ML</t>
  </si>
  <si>
    <t>TIRTIR-MILK SKIN TONER – 50ML</t>
  </si>
  <si>
    <t>TOCOBO COTTON SOFT SUN STICK, 19GM</t>
  </si>
  <si>
    <t>TWACHA CAFFEINE LIP BALM 12GM</t>
  </si>
  <si>
    <t>UBIYA DERMA 1% HYALURONIC ACID  SUNCREEN AQUA-GEL 50GM</t>
  </si>
  <si>
    <t>UBIYA DERMA 1% KOJIC ACID COMPLEX SUNCREEN AQUA-GEL 50GM</t>
  </si>
  <si>
    <t>UBIYA DERMA EYE REVIVE+ : UNDER EYE GEL</t>
  </si>
  <si>
    <t>UV DOUX BLUE LIGHT SUNSCREEN GEL SPF 50 PA+++ 50GM</t>
  </si>
  <si>
    <t>UV DOUX SUNSCREEN GEL, SPF 50+, 100GM WITH FREE FACE CLEANSER 125ML</t>
  </si>
  <si>
    <t>UV DOUX SUNSCREEN GEL, SPF 50+, 50GM</t>
  </si>
  <si>
    <t>UV DOUX SUNSCREEN SPF 50 PA+++50GM WITH FREE FACE CLEANSER 125ML</t>
  </si>
  <si>
    <t>UVICOZ AQUA GEL 60GM</t>
  </si>
  <si>
    <t>UVICOZ IR SUNSCREEN GEL 50GM</t>
  </si>
  <si>
    <t>VASELINE BLUESEAl, COCOA BUTTER- 100ML</t>
  </si>
  <si>
    <t>VASELINE BLUESEAL, COCOA BUTTER- 50ML</t>
  </si>
  <si>
    <t>VASELINE BLUESEAL, VITAMIN E- 100ML</t>
  </si>
  <si>
    <t>VASELINE BLUESEAL, VITAMIN E- 50ML</t>
  </si>
  <si>
    <t>VASELINE GLUTA-HYA SERUM BURST LOTION, DEWY RADIANCES- 330ML</t>
  </si>
  <si>
    <t>VASELINE GLUTA-HYA SERUM BURST LOTION, FLAWLESS BRIGHT- 330ML</t>
  </si>
  <si>
    <t>VASELINE GLUTA-HYA SERUM BURST LOTION, SPOTLESS GLOW- 300ML</t>
  </si>
  <si>
    <t>VASELINE LIP THERAPY ORIGINAL 20GM</t>
  </si>
  <si>
    <t>VASELINE LIP THERAPY ROSY LIPS -20 G</t>
  </si>
  <si>
    <t>VASELINE PETROLEUM JELLY ORIGINAL- 50 ML</t>
  </si>
  <si>
    <t>VICTORIA'S SECRET BODY LOTION 236ML - TEMPTATION</t>
  </si>
  <si>
    <t>VICTORIA'S SECRET BODY MIST 250ML - BARE VANILLA</t>
  </si>
  <si>
    <t>VICTORIA'S SECRET BODY MIST 250ML - MIDNIGHT BLOOM</t>
  </si>
  <si>
    <t>VICTORIA'S SECRET BODY MIST 250ML- PURE SEDUCTION</t>
  </si>
  <si>
    <t>VICTORIA'S SECRET BODY MIST 250ML - RUSH</t>
  </si>
  <si>
    <t>VICTORIA'S SECRET FINE FRAGRANCE MIST 250 ML - BOMBSHELL</t>
  </si>
  <si>
    <t>WET N WILD BLUSH BRUSH - E796</t>
  </si>
  <si>
    <t>WET N WILD CREASE BRUSH - E787</t>
  </si>
  <si>
    <t>WET N WILD DUAL-ENDED CONTOUR STICK - LIGHT/MEDIUM (E7511)</t>
  </si>
  <si>
    <t>WET N WILD FOUNDATION BRUSH - (795A)</t>
  </si>
  <si>
    <t>WET N WILD MATTE FOUNDATION 30ML E368C - GOLDEN BEIGE</t>
  </si>
  <si>
    <t>WET N WILD POWDER BRUSH - E797</t>
  </si>
  <si>
    <t>WET N WILD SMALL CONCEALER BRUSH - E788</t>
  </si>
  <si>
    <t>ZUWA COSMETICS KOJIC ACID LIGHTENING SOAP 135GM</t>
  </si>
  <si>
    <t>March Sales</t>
  </si>
  <si>
    <t>Total Qty</t>
  </si>
  <si>
    <t>Diff</t>
  </si>
  <si>
    <t>Accuracy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</si>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</sst>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ales2.xlsx" TargetMode="External"/><Relationship Id="rId2" Type="http://schemas.openxmlformats.org/officeDocument/2006/relationships/externalLinkPath" Target="file:///C:\Users\INSIDE\Desktop\sales2.xlsx" TargetMode="External"/><Relationship Id="rId1" Type="http://schemas.openxmlformats.org/officeDocument/2006/relationships/externalLinkPath" Target="/Users/INSIDE/Desktop/sale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int of Sale Analysis"/>
    </sheetNames>
    <sheetDataSet>
      <sheetData sheetId="0">
        <row r="1">
          <cell r="A1" t="str">
            <v>Product Name</v>
          </cell>
          <cell r="B1" t="str">
            <v>Sales Monthly</v>
          </cell>
        </row>
        <row r="2">
          <cell r="A2" t="str">
            <v>[1001404] FARMASI ULTIMATE SHINE GLOSS 02 SHINY COPPER 8 ML</v>
          </cell>
          <cell r="B2">
            <v>1</v>
          </cell>
        </row>
        <row r="3">
          <cell r="A3" t="str">
            <v>[1001406] FARMASI ULTIMATE SHINE GLOSS 04 PINK TOURMALINE 8 ML</v>
          </cell>
          <cell r="B3">
            <v>3</v>
          </cell>
        </row>
        <row r="4">
          <cell r="A4" t="str">
            <v>[1001411] FARMASI MATTE LIQUID LIPSTICK 03 SUNSET BREEZE 4 ML</v>
          </cell>
          <cell r="B4">
            <v>3</v>
          </cell>
        </row>
        <row r="5">
          <cell r="A5" t="str">
            <v>[1001486] FARMASI BB CREAM 02 LIGHT TO MEDIUM 30ML</v>
          </cell>
          <cell r="B5">
            <v>1</v>
          </cell>
        </row>
        <row r="6">
          <cell r="A6" t="str">
            <v>[1001491] FARMASI CC CREAM 01 LIGHT 30ML</v>
          </cell>
          <cell r="B6">
            <v>1</v>
          </cell>
        </row>
        <row r="7">
          <cell r="A7" t="str">
            <v>[1001519] FARMASI VFX PRO TIME LOCKER FIXING SPRAY 125ML</v>
          </cell>
          <cell r="B7">
            <v>1</v>
          </cell>
        </row>
        <row r="8">
          <cell r="A8" t="str">
            <v>[1002034] FARMASI VFX PRO FOUNDATION 11 CASHEW 30 ML</v>
          </cell>
          <cell r="B8">
            <v>1</v>
          </cell>
        </row>
        <row r="9">
          <cell r="A9" t="str">
            <v>[1301518] FARMASI DOUBLE LASH EXTEND 2 STEP MASCARA 12 ML</v>
          </cell>
          <cell r="B9">
            <v>2</v>
          </cell>
        </row>
        <row r="10">
          <cell r="A10" t="str">
            <v>[147116] MESAUDA MAKE-UP BLENDER SPONGE</v>
          </cell>
          <cell r="B10">
            <v>2</v>
          </cell>
        </row>
        <row r="11">
          <cell r="A11" t="str">
            <v>[21539] Technic Brow FXer Sculpting Gel</v>
          </cell>
          <cell r="B11">
            <v>2</v>
          </cell>
        </row>
        <row r="12">
          <cell r="A12" t="str">
            <v>[221N50] MESAUDA PRO LIGHT CONCEALER N50 4ML</v>
          </cell>
          <cell r="B12">
            <v>1</v>
          </cell>
        </row>
        <row r="13">
          <cell r="A13" t="str">
            <v>[233C45] MESAUDA MAGIC WAND C45 20ML</v>
          </cell>
          <cell r="B13">
            <v>2</v>
          </cell>
        </row>
        <row r="14">
          <cell r="A14" t="str">
            <v>[235101] MESAUDA OIL FOIL FACE PRIMER 30ML</v>
          </cell>
          <cell r="B14">
            <v>1</v>
          </cell>
        </row>
        <row r="15">
          <cell r="A15" t="str">
            <v>[238101] MESAUDA ARTIST LIPS FUDGE LIP LINER 14 GM</v>
          </cell>
          <cell r="B15">
            <v>1</v>
          </cell>
        </row>
        <row r="16">
          <cell r="A16" t="str">
            <v>[239101] MESAUDA REBELEYES SPIDER EYE PENCIL 1.20 GM</v>
          </cell>
          <cell r="B16">
            <v>1</v>
          </cell>
        </row>
        <row r="17">
          <cell r="A17" t="str">
            <v>[254204] MESAUDA SUBLIMATTE POWERFUL MATTE LIPSTICK 5ML</v>
          </cell>
          <cell r="B17">
            <v>1</v>
          </cell>
        </row>
        <row r="18">
          <cell r="A18" t="str">
            <v>[256101] MESAUDA FEMULINE MASCARA</v>
          </cell>
          <cell r="B18">
            <v>1</v>
          </cell>
        </row>
        <row r="19">
          <cell r="A19" t="str">
            <v>[25704] Technic Soft Focus Transparent Loose Powder</v>
          </cell>
          <cell r="B19">
            <v>1</v>
          </cell>
        </row>
        <row r="20">
          <cell r="A20" t="str">
            <v>[29548] Technic Goddess Pressed Pigment Palette</v>
          </cell>
          <cell r="B20">
            <v>1</v>
          </cell>
        </row>
        <row r="21">
          <cell r="A21" t="str">
            <v>[3606000537514] CERAVE DAILY MOISTURIZING LOTION (3OZ - 87ML) (USA)</v>
          </cell>
          <cell r="B21">
            <v>2</v>
          </cell>
        </row>
        <row r="22">
          <cell r="A22" t="str">
            <v>[3606000560994] Cerave Renewing SA Cleanser (16oz - 473ml) (USA)</v>
          </cell>
          <cell r="B22">
            <v>1</v>
          </cell>
        </row>
        <row r="23">
          <cell r="A23" t="str">
            <v>[3701365769874] NOTE LOOSE POWDER - 14G ( 04)</v>
          </cell>
          <cell r="B23">
            <v>1</v>
          </cell>
        </row>
        <row r="24">
          <cell r="A24" t="str">
            <v>[4005808324774] NIVEA MILK LOTION 125ML</v>
          </cell>
          <cell r="B24">
            <v>2</v>
          </cell>
        </row>
        <row r="25">
          <cell r="A25" t="str">
            <v>[4005808372904] NIVEA LIPCARE STRAWBERRY 4.8GM</v>
          </cell>
          <cell r="B25">
            <v>1</v>
          </cell>
        </row>
        <row r="26">
          <cell r="A26" t="str">
            <v>[4005808837359] NIVEA DEO ROLL ON PEARL &amp; BEAUTY 50ML</v>
          </cell>
          <cell r="B26">
            <v>1</v>
          </cell>
        </row>
        <row r="27">
          <cell r="A27" t="str">
            <v>[4005808837540] NIVEA DEO ROLL ON FRESH ENERGY 50ML</v>
          </cell>
          <cell r="B27">
            <v>2</v>
          </cell>
        </row>
        <row r="28">
          <cell r="A28" t="str">
            <v>[4005900087843] NIVEA DEO SPRAY PEARL &amp; BEAUTY 150ML</v>
          </cell>
          <cell r="B28">
            <v>1</v>
          </cell>
        </row>
        <row r="29">
          <cell r="A29" t="str">
            <v>[4005900408389] NIVEA DEO ROLL ON PROTECT &amp; CARE 50ML</v>
          </cell>
          <cell r="B29">
            <v>1</v>
          </cell>
        </row>
        <row r="30">
          <cell r="A30" t="str">
            <v>[4005900438935] NIVEA EXTRA WHITE FIRMING LOTION 125ML</v>
          </cell>
          <cell r="B30">
            <v>1</v>
          </cell>
        </row>
        <row r="31">
          <cell r="A31" t="str">
            <v>[50907W] MESAUDA CHRONO FLAWLESS FOUNDATION 07W 30ML</v>
          </cell>
          <cell r="B31">
            <v>2</v>
          </cell>
        </row>
        <row r="32">
          <cell r="A32" t="str">
            <v>[510102] MESAUDA FLUSH OF BLUSH PETAL PINK LIQUID 8ML</v>
          </cell>
          <cell r="B32">
            <v>2</v>
          </cell>
        </row>
        <row r="33">
          <cell r="A33" t="str">
            <v>[769915190977] THE ORDINARY GLYCOLIC ACID 7% TONIC SOLUTION 240ML</v>
          </cell>
          <cell r="B33">
            <v>2</v>
          </cell>
        </row>
        <row r="34">
          <cell r="A34" t="str">
            <v>[769915194012] THE ORDINARY RETINOL 0.5% IN SQUALANE 30ML</v>
          </cell>
          <cell r="B34">
            <v>3</v>
          </cell>
        </row>
        <row r="35">
          <cell r="A35" t="str">
            <v>[76991519495] THE ORDINARY NIACINAMIDE 10% +ZINC 1% (60 ML)</v>
          </cell>
          <cell r="B35">
            <v>1</v>
          </cell>
        </row>
        <row r="36">
          <cell r="A36" t="str">
            <v>[8682536023085] FLORMAR ALL DAY FIX SETTING SPRAY 125 ML</v>
          </cell>
          <cell r="B36">
            <v>1</v>
          </cell>
        </row>
        <row r="37">
          <cell r="A37" t="str">
            <v>[8682536040402] FLORMAR BIG N BOLD MASCARA 15 ML</v>
          </cell>
          <cell r="B37">
            <v>1</v>
          </cell>
        </row>
        <row r="38">
          <cell r="A38" t="str">
            <v>[8682536053693] FLORMAR WET &amp; DRY COMPACT POWDER-005 MEDIUM CARAMEL</v>
          </cell>
          <cell r="B38">
            <v>1</v>
          </cell>
        </row>
        <row r="39">
          <cell r="A39" t="str">
            <v>[8682536053754] FLORMAR WET &amp; DRY COMPACT POWDER-008 MEDIUM PEACH</v>
          </cell>
          <cell r="B39">
            <v>1</v>
          </cell>
        </row>
        <row r="40">
          <cell r="A40" t="str">
            <v>[8682536058346] FLORMAR OPEN UP HD MASCARA 12 ML</v>
          </cell>
          <cell r="B40">
            <v>1</v>
          </cell>
        </row>
        <row r="41">
          <cell r="A41" t="str">
            <v>[8682536059633] FLORMAR SKIN LIFTING FOUNDATION-060 GOLDEN NEUTRAL</v>
          </cell>
          <cell r="B41">
            <v>1</v>
          </cell>
        </row>
        <row r="42">
          <cell r="A42" t="str">
            <v>[8690604397341] FLORMAR SILK MATTE LIQUID LIPSTICK-05 AUTUMN TIMBER</v>
          </cell>
          <cell r="B42">
            <v>1</v>
          </cell>
        </row>
        <row r="43">
          <cell r="A43" t="str">
            <v>[8690604536481] FLORMAR WATERPROOF DIPLINER MATTE 2,5 ML</v>
          </cell>
          <cell r="B43">
            <v>1</v>
          </cell>
        </row>
        <row r="44">
          <cell r="A44" t="str">
            <v>[8690604558056] FLORMAR PERFECT COVERAGE LIQUID CONCEALER-20 FAIR/LIGHT</v>
          </cell>
          <cell r="B44">
            <v>4</v>
          </cell>
        </row>
        <row r="45">
          <cell r="A45" t="str">
            <v>[8690604558070] FLORMAR PERFECT COVERAGE LIQUID CONCEALER-40 LIGHT/MEDIUM</v>
          </cell>
          <cell r="B45">
            <v>4</v>
          </cell>
        </row>
        <row r="46">
          <cell r="A46" t="str">
            <v>[8901526103430] L'OREAL PARIS EXTRAORDINARY OIL NOURISHING SHAMPOO- 650ML</v>
          </cell>
          <cell r="B46">
            <v>1</v>
          </cell>
        </row>
        <row r="47">
          <cell r="A47" t="str">
            <v>[8901526603404] L'OREAL PARIS HYALURON MOISTURE 72H SEALING CONDITIONER 175 ML</v>
          </cell>
          <cell r="B47">
            <v>1</v>
          </cell>
        </row>
        <row r="48">
          <cell r="A48" t="str">
            <v>[8901526651191] L'OREAL PARIS HYALURON PURE 72H REHYDRATING CONDITIONER - 175ML</v>
          </cell>
          <cell r="B48">
            <v>2</v>
          </cell>
        </row>
        <row r="49">
          <cell r="A49" t="str">
            <v>[8901531300176] BOROLINE ANTISEPTIC AYURVEDIC CREAM 20G TUBE</v>
          </cell>
          <cell r="B49">
            <v>12</v>
          </cell>
        </row>
        <row r="50">
          <cell r="A50" t="str">
            <v>[8904035425536] DOT &amp; KEY VITAMIN C MOISTURIZER- 60 ML</v>
          </cell>
          <cell r="B50">
            <v>1</v>
          </cell>
        </row>
        <row r="51">
          <cell r="A51" t="str">
            <v>[8904035426205] DOT &amp; KEY CICA NIGHT GEL- 60 ML</v>
          </cell>
          <cell r="B51">
            <v>2</v>
          </cell>
        </row>
        <row r="52">
          <cell r="A52" t="str">
            <v>[8904417300246] THE DERMA CO HYALURONIC INVISIBLE SUNSCREEN GEL 50G</v>
          </cell>
          <cell r="B52">
            <v>1</v>
          </cell>
        </row>
        <row r="53">
          <cell r="A53" t="str">
            <v>[8904417300512] MAMAEARTH UBTAN FACE WASH WITH TURMERIC &amp; SAFFRON 100ML</v>
          </cell>
          <cell r="B53">
            <v>3</v>
          </cell>
        </row>
        <row r="54">
          <cell r="A54" t="str">
            <v>[8904417301076] THE DERMA CO 1% SALICYLIC ACID FOAMING DAILY FACE WASH 100ML</v>
          </cell>
          <cell r="B54">
            <v>4</v>
          </cell>
        </row>
        <row r="55">
          <cell r="A55" t="str">
            <v>[8904417302578] THE DERMA CO 5% VITAMIN C OIL-FREE DAILY FACE MOISTURIZER 100G</v>
          </cell>
          <cell r="B55">
            <v>2</v>
          </cell>
        </row>
        <row r="56">
          <cell r="A56" t="str">
            <v>[8904417303131] THE DERMA CO PORE MINIMIZING PRIMING SUNSCREEN 50GM</v>
          </cell>
          <cell r="B56">
            <v>1</v>
          </cell>
        </row>
        <row r="57">
          <cell r="A57" t="str">
            <v>[8904417303308] MAMAEARTH NOURISHING TINTED NATURAL LIP BALM - VIT E &amp; STRAWBERRY</v>
          </cell>
          <cell r="B57">
            <v>2</v>
          </cell>
        </row>
        <row r="58">
          <cell r="A58" t="str">
            <v>[8904417306163] THE DERMA CO C-CINAMIDE RADIANCE SUNSCREEN AQUA GEL 50G</v>
          </cell>
          <cell r="B58">
            <v>1</v>
          </cell>
        </row>
        <row r="59">
          <cell r="A59" t="str">
            <v>[8904417306224] AQUALOGICA GLOW+ SUNSCREEN 80G</v>
          </cell>
          <cell r="B59">
            <v>4</v>
          </cell>
        </row>
        <row r="60">
          <cell r="A60" t="str">
            <v>[8904417306231] THE DERMA CO 1% HYALURONIC SUNSCREEN AQUA GEL 80G</v>
          </cell>
          <cell r="B60">
            <v>9</v>
          </cell>
        </row>
        <row r="61">
          <cell r="A61" t="str">
            <v>[8904417306248] THE DERMA CO. 1% KOJIC ACID DAILY FACE WASH- 100ML</v>
          </cell>
          <cell r="B61">
            <v>1</v>
          </cell>
        </row>
        <row r="62">
          <cell r="A62" t="str">
            <v>[8904417306255] AQUALOGICA DETAN + DEWY SUNSCREEN 50GM</v>
          </cell>
          <cell r="B62">
            <v>2</v>
          </cell>
        </row>
        <row r="63">
          <cell r="A63" t="str">
            <v>[8904417306576] THE DERMA CO 2% SALI-CINAMIDE ANTI-ACNE FACE WASH 80ML</v>
          </cell>
          <cell r="B63">
            <v>3</v>
          </cell>
        </row>
        <row r="64">
          <cell r="A64" t="str">
            <v>[8904417307139] THE DERMA CO. 2% KOJIC ACID FACE SERUM- 10 ML</v>
          </cell>
          <cell r="B64">
            <v>2</v>
          </cell>
        </row>
        <row r="65">
          <cell r="A65" t="str">
            <v>[8904417307146] THE DERMA CO 2% SALICYLIC ACID FACE SERUM- 10 ML</v>
          </cell>
          <cell r="B65">
            <v>3</v>
          </cell>
        </row>
        <row r="66">
          <cell r="A66" t="str">
            <v>[8904417307481] AQUALOGICA ILLUMINATE+ OIL-FREE MOISTURIZER- 100G</v>
          </cell>
          <cell r="B66">
            <v>1</v>
          </cell>
        </row>
        <row r="67">
          <cell r="A67" t="str">
            <v>[8904417307740] MAMAEARTH ROSEMARY ANTI-HAIR FALL SHAMPOO-250 ML</v>
          </cell>
          <cell r="B67">
            <v>2</v>
          </cell>
        </row>
        <row r="68">
          <cell r="A68" t="str">
            <v>[8904417308501] THE DERMA CO 1% KOJIC ACID LIP BALM- 4G</v>
          </cell>
          <cell r="B68">
            <v>5</v>
          </cell>
        </row>
        <row r="69">
          <cell r="A69" t="str">
            <v>[8904417308587] AQUALOGICA DETAN+ DEWY SUNSCREEN 80G</v>
          </cell>
          <cell r="B69">
            <v>1</v>
          </cell>
        </row>
        <row r="70">
          <cell r="A70" t="str">
            <v>[8904417309171] THE DERMA CO 2% NIACINAMIDE GENTLE SKIN CLEANSER- 125 ML</v>
          </cell>
          <cell r="B70">
            <v>8</v>
          </cell>
        </row>
        <row r="71">
          <cell r="A71" t="str">
            <v>[8904417309188] THE DERMA CO 2% NIACINAMIDE OILY SKIN CLEANSER- 125 ML</v>
          </cell>
          <cell r="B71">
            <v>5</v>
          </cell>
        </row>
        <row r="72">
          <cell r="A72" t="str">
            <v>[8904417311327] THE DERMA CO 4% CERAMIDE BARRIER REPAIR MOISTURIZER- 50 GM</v>
          </cell>
          <cell r="B72">
            <v>5</v>
          </cell>
        </row>
        <row r="73">
          <cell r="A73" t="str">
            <v>[8904417311549] MAMAEARTH BEETROOT GENTLE FACE WASH 100 ML</v>
          </cell>
          <cell r="B73">
            <v>1</v>
          </cell>
        </row>
        <row r="74">
          <cell r="A74" t="str">
            <v>[8904417312133] MAMAEARTH BEETROOT HYDRAFUL MOISTURIZER 50 ML</v>
          </cell>
          <cell r="B74">
            <v>1</v>
          </cell>
        </row>
        <row r="75">
          <cell r="A75" t="str">
            <v>[8904417312751] AQUALOGICA DETAN+ DEWY SUNSCREEN SPRAY 100ML</v>
          </cell>
          <cell r="B75">
            <v>3</v>
          </cell>
        </row>
        <row r="76">
          <cell r="A76" t="str">
            <v>[8904417313192] AQUALOGICA REFRESH+ BODY MIST-DEWY FLORAL KISS- 150 ML</v>
          </cell>
          <cell r="B76">
            <v>1</v>
          </cell>
        </row>
        <row r="77">
          <cell r="A77" t="str">
            <v>[8904417313420] MAMAEARTH RICE WATER DEWY SUNSCREEN 50 G</v>
          </cell>
          <cell r="B77">
            <v>1</v>
          </cell>
        </row>
        <row r="78">
          <cell r="A78" t="str">
            <v>[8904417313567] THE DERMA CO SNAIL PEPTIDE 96 UNDER EYE CREAM- 15 GM</v>
          </cell>
          <cell r="B78">
            <v>1</v>
          </cell>
        </row>
        <row r="79">
          <cell r="A79" t="str">
            <v>[8904417314007] AQUALOGICA GLOW + HYDRA GEL MOISTURIZER 200GM</v>
          </cell>
          <cell r="B79">
            <v>2</v>
          </cell>
        </row>
        <row r="80">
          <cell r="A80" t="str">
            <v>[8904417314021] AQUALOGICA 5 BARRIER + HYDRA GEL MOISTURIZER 200GM</v>
          </cell>
          <cell r="B80">
            <v>3</v>
          </cell>
        </row>
        <row r="81">
          <cell r="A81" t="str">
            <v>[8904417316377] AQUALOGICA BARRIER + REPAIR SUNSCREEN 80G</v>
          </cell>
          <cell r="B81">
            <v>1</v>
          </cell>
        </row>
        <row r="82">
          <cell r="A82" t="str">
            <v>[8904417316926] THE DERMA CO 5% NIA-CERAMIDE MATTIFYING MOISTURIZER- 100 GM</v>
          </cell>
          <cell r="B82">
            <v>2</v>
          </cell>
        </row>
        <row r="83">
          <cell r="A83" t="str">
            <v>[8904417316933] THE DERMA CO 5% NIA-CERAMIDE DAILY HYDRATING MOISTURIZER- 100 GM</v>
          </cell>
          <cell r="B83">
            <v>4</v>
          </cell>
        </row>
        <row r="84">
          <cell r="A84" t="str">
            <v>[8904417318586] MAMAEARTH VIT C MOISTURE THERAPY LIP BALM 15 G</v>
          </cell>
          <cell r="B84">
            <v>1</v>
          </cell>
        </row>
        <row r="85">
          <cell r="A85" t="str">
            <v>[8904417318890] THE DERMA CO 2.5% BENZOYL PEROXIDE GEL FACE WASH - 100ML</v>
          </cell>
          <cell r="B85">
            <v>3</v>
          </cell>
        </row>
        <row r="86">
          <cell r="A86" t="str">
            <v>[8904417319545] THE DERMA CO 1% HYALURONIC SUNSCREEN HYDRATING GEL - 50G</v>
          </cell>
          <cell r="B86">
            <v>3</v>
          </cell>
        </row>
        <row r="87">
          <cell r="A87" t="str">
            <v>[8.90442E+12-0] MAMAEARTH RICE WATER HYDRATING BODY LOTION-400ML</v>
          </cell>
          <cell r="B87">
            <v>1</v>
          </cell>
        </row>
        <row r="88">
          <cell r="A88" t="str">
            <v>[8904482500022] PILGRIM BLUSH DUO BERRY BEAT</v>
          </cell>
          <cell r="B88">
            <v>3</v>
          </cell>
        </row>
        <row r="89">
          <cell r="A89" t="str">
            <v>[8904482500077] PILGRIM BULLET LIPSTICK MOCHA BLISS-4.2 GM</v>
          </cell>
          <cell r="B89">
            <v>2</v>
          </cell>
        </row>
        <row r="90">
          <cell r="A90" t="str">
            <v>[8904482500138] PILGRIM BULLET LIPSTICK PINK ROMANCE-30 GM</v>
          </cell>
          <cell r="B90">
            <v>2</v>
          </cell>
        </row>
        <row r="91">
          <cell r="A91" t="str">
            <v>[8904482500206] PILGRIM BULLET LIPSTICK NUDE KISS-4.2 GM</v>
          </cell>
          <cell r="B91">
            <v>1</v>
          </cell>
        </row>
        <row r="92">
          <cell r="A92" t="str">
            <v>[8904482500213] PILGRIM BULLET LIPSTICK CHOCOLATE TEASE - 4.2G</v>
          </cell>
          <cell r="B92">
            <v>1</v>
          </cell>
        </row>
        <row r="93">
          <cell r="A93" t="str">
            <v>[8904482501340] PILGRIM 5 CERAMIDES BARRIER REPAIR MOISTURIZER - 100G</v>
          </cell>
          <cell r="B93">
            <v>21</v>
          </cell>
        </row>
        <row r="94">
          <cell r="A94" t="str">
            <v>[8904482501555] PILGRIM SPANISH SQUALANE &amp; NIACINAMIDE GLOW BODY LOTION - 400ML</v>
          </cell>
          <cell r="B94">
            <v>4</v>
          </cell>
        </row>
        <row r="95">
          <cell r="A95" t="str">
            <v>[8904482501807] PILGRIM 5% NIACINAMIDE OIL-FREE LIGHT GEL SUNSCREENSPF 50+ PA++++</v>
          </cell>
          <cell r="B95">
            <v>3</v>
          </cell>
        </row>
        <row r="96">
          <cell r="A96" t="str">
            <v>[8904482501814] PILGRIM 5% VIT C BRIGHTENING LIGHT GEL SUNSCREEN SPF 50 PA++++</v>
          </cell>
          <cell r="B96">
            <v>3</v>
          </cell>
        </row>
        <row r="97">
          <cell r="A97" t="str">
            <v>[8904482504136] PILGRIM KOREAN RICE WATER HYDRA GLOW GEL FACEWASH -100ML</v>
          </cell>
          <cell r="B97">
            <v>2</v>
          </cell>
        </row>
        <row r="98">
          <cell r="A98" t="str">
            <v>[8904482504143] PILGRIM VITAMIN C TINTED STRAWBERRY GLOSS LIP BALM SPF50 PA++++ -4.5GM</v>
          </cell>
          <cell r="B98">
            <v>3</v>
          </cell>
        </row>
        <row r="99">
          <cell r="A99" t="str">
            <v>[8906087770121] MAMAEARTH MINERAL BASED SUNSCREEN FOR BABIES100ML</v>
          </cell>
          <cell r="B99">
            <v>2</v>
          </cell>
        </row>
        <row r="100">
          <cell r="A100" t="str">
            <v>[8906087770534] MAMAEARTH MILKY SOFT BABY FACE CREAM WITH MURU MURU BUTTER 60GM</v>
          </cell>
          <cell r="B100">
            <v>2</v>
          </cell>
        </row>
        <row r="101">
          <cell r="A101" t="str">
            <v>[8906087770640] MAMAEARTH ANTI MOSQUITO PATCH PRINTED -PACK OF 24</v>
          </cell>
          <cell r="B101">
            <v>1</v>
          </cell>
        </row>
        <row r="102">
          <cell r="A102" t="str">
            <v>[8906087772040] THE DERMA CO 10% NIACINAMIDE SERUM, 30ML</v>
          </cell>
          <cell r="B102">
            <v>14</v>
          </cell>
        </row>
        <row r="103">
          <cell r="A103" t="str">
            <v>[8906087772071] THE DERMA CO CERAMIDE + HA INTENSE MOISTURIZER, 50GM</v>
          </cell>
          <cell r="B103">
            <v>3</v>
          </cell>
        </row>
        <row r="104">
          <cell r="A104" t="str">
            <v>[8906087772187] MAMAEARTH ONION SHAMPOO FOR HAIR GROWTH AND HAIR FALL CONTROL WITH ONION OIL AND PLANT KERATIN 400ML</v>
          </cell>
          <cell r="B104">
            <v>1</v>
          </cell>
        </row>
        <row r="105">
          <cell r="A105" t="str">
            <v>[8906087772859] MAMAEARTH VITAMIN C FACE WASH WITH VITAMIN C &amp; TUMERIC - 100 ML</v>
          </cell>
          <cell r="B105">
            <v>1</v>
          </cell>
        </row>
        <row r="106">
          <cell r="A106" t="str">
            <v>[8906087772941] MAMAEARTH HYDRAGEL INDIAN SUNSCREEN WITH ALOE VERA AND RASPBERRY FOR SUN PROTECTION - 50 G</v>
          </cell>
          <cell r="B106">
            <v>1</v>
          </cell>
        </row>
        <row r="107">
          <cell r="A107" t="str">
            <v>[8906087773740] THE DERMA CO 0.3% RETINOL FACE SERUM, 30ML</v>
          </cell>
          <cell r="B107">
            <v>2</v>
          </cell>
        </row>
        <row r="108">
          <cell r="A108" t="str">
            <v>[8906087773849] THE DERMA CO 2% SALICYLIC ACID FACE SERUM- 30ml</v>
          </cell>
          <cell r="B108">
            <v>3</v>
          </cell>
        </row>
        <row r="109">
          <cell r="A109" t="str">
            <v>[8906087774204] MAMAEARTH NIACIN FACE TONER 200ML</v>
          </cell>
          <cell r="B109">
            <v>6</v>
          </cell>
        </row>
        <row r="110">
          <cell r="A110" t="str">
            <v>[8906087774495] THE DERMA CO 2% SALICYLIC CLAY MASK 50G</v>
          </cell>
          <cell r="B110">
            <v>2</v>
          </cell>
        </row>
        <row r="111">
          <cell r="A111" t="str">
            <v>[8906087774624] THE DERMA CO 2% ALPHA ARBUTIN FACE SERUM, 30ML</v>
          </cell>
          <cell r="B111">
            <v>6</v>
          </cell>
        </row>
        <row r="112">
          <cell r="A112" t="str">
            <v>[8906087775607] THE DERMA CO. 10% VITAMIN C FACE SERUM, 30ML</v>
          </cell>
          <cell r="B112">
            <v>6</v>
          </cell>
        </row>
        <row r="113">
          <cell r="A113" t="str">
            <v>[8906087775645] THE DERMA CO 1% SALICYLIC ACID GEL FACE WASH 100ML</v>
          </cell>
          <cell r="B113">
            <v>9</v>
          </cell>
        </row>
        <row r="114">
          <cell r="A114" t="str">
            <v>[8906087775713] THE DERMA CO. 1% HYALURONIC SUNSCREEN AQUA GEL, 50GM</v>
          </cell>
          <cell r="B114">
            <v>4</v>
          </cell>
        </row>
        <row r="115">
          <cell r="A115" t="str">
            <v>[8906087776024] THE DERMA CO. 1% SALICYLIC ACID OIL-FREE FACE MOISTURIZER 50G</v>
          </cell>
          <cell r="B115">
            <v>1</v>
          </cell>
        </row>
        <row r="116">
          <cell r="A116" t="str">
            <v>[8906087776093] THE DERMA CO. 3% VITAMIN E FACE MOISTURIZER 100G</v>
          </cell>
          <cell r="B116">
            <v>2</v>
          </cell>
        </row>
        <row r="117">
          <cell r="A117" t="str">
            <v>[8906087776604] THE DERMA CO. 2% KOJIC ACID FACE SERUM-30ML (30 ML)</v>
          </cell>
          <cell r="B117">
            <v>2</v>
          </cell>
        </row>
        <row r="118">
          <cell r="A118" t="str">
            <v>[8906087776758] MAMAEARTH CHARCOAL BLACK LONG STAY KAJAL</v>
          </cell>
          <cell r="B118">
            <v>4</v>
          </cell>
        </row>
        <row r="119">
          <cell r="A119" t="str">
            <v>[8906087778042] THE DERMA CO PORE MINIMIZING FACE SERUM 30ML</v>
          </cell>
          <cell r="B119">
            <v>3</v>
          </cell>
        </row>
        <row r="120">
          <cell r="A120" t="str">
            <v>[8906087778363] THE DERMA CO 1% HYALURONIC TINTED SUNSCREEN GEL 50G</v>
          </cell>
          <cell r="B120">
            <v>2</v>
          </cell>
        </row>
        <row r="121">
          <cell r="A121" t="str">
            <v>[8906087778462] AQUALOGICA GLOW+ SUNSCREEN 50G</v>
          </cell>
          <cell r="B121">
            <v>1</v>
          </cell>
        </row>
        <row r="122">
          <cell r="A122" t="str">
            <v>[8906087778561] THE DERMA CO 5% CICA-GLOW DAILY FACE MOISTURIZER</v>
          </cell>
          <cell r="B122">
            <v>2</v>
          </cell>
        </row>
        <row r="123">
          <cell r="A123" t="str">
            <v>[8906087778677] THE DERMA CO 5% NIACINAMIDE DAILY FACE SERUM 30ML</v>
          </cell>
          <cell r="B123">
            <v>4</v>
          </cell>
        </row>
        <row r="124">
          <cell r="A124" t="str">
            <v>[8906087778684] THE DERMA CO 5% VITAMIN C DAILY FACE SERUM 30ML</v>
          </cell>
          <cell r="B124">
            <v>3</v>
          </cell>
        </row>
        <row r="125">
          <cell r="A125" t="str">
            <v>[8906087779032] MAMAEARTH RICE FACE WASH WITH RICE WATER &amp; NIACINAMIDE 100ML</v>
          </cell>
          <cell r="B125">
            <v>7</v>
          </cell>
        </row>
        <row r="126">
          <cell r="A126" t="str">
            <v>[8906087779407] AQUALOGICA RADIANCE+ DEWY SUNSCREEN 50G</v>
          </cell>
          <cell r="B126">
            <v>4</v>
          </cell>
        </row>
        <row r="127">
          <cell r="A127" t="str">
            <v>[8906120580038] PILGRIM WHITE LOTUS NATURAL FACE MIST &amp; TONER- 100ML</v>
          </cell>
          <cell r="B127">
            <v>4</v>
          </cell>
        </row>
        <row r="128">
          <cell r="A128" t="str">
            <v>[8906120580106] PILGRIM ARGAN OIL HAIR SERUM - 100ML</v>
          </cell>
          <cell r="B128">
            <v>2</v>
          </cell>
        </row>
        <row r="129">
          <cell r="A129" t="str">
            <v>[8906120580502] PILGRIM RETINOL NIGHT CREAM WITH VITAMIN C &amp; HYALURONIC ACID- 50G</v>
          </cell>
          <cell r="B129">
            <v>3</v>
          </cell>
        </row>
        <row r="130">
          <cell r="A130" t="str">
            <v>[8906120580526] PILGRIM RETINOL UNDER EYE CREAM WITH HYALURONIC ACID- 30G</v>
          </cell>
          <cell r="B130">
            <v>1</v>
          </cell>
        </row>
        <row r="131">
          <cell r="A131" t="str">
            <v>[8906120581370] PILGRIM 2% ALPHA ARBUTIN BRIGHTENING SERUM- 30ML</v>
          </cell>
          <cell r="B131">
            <v>1</v>
          </cell>
        </row>
        <row r="132">
          <cell r="A132" t="str">
            <v>[8906120581509] PILGRIM REDENSYL &amp; ANAGAIN ADVANCED HAIR GROWTH SERUM - 50ML</v>
          </cell>
          <cell r="B132">
            <v>4</v>
          </cell>
        </row>
        <row r="133">
          <cell r="A133" t="str">
            <v>[8906120582209] PILGRIM SALICYLIC ACID &amp; NIACINAMIDE OIL CONTROL SERUM - 30ML</v>
          </cell>
          <cell r="B133">
            <v>2</v>
          </cell>
        </row>
        <row r="134">
          <cell r="A134" t="str">
            <v>[8906120583923] PILGRIM SQUALANE GLOW MOISTURIZER- 50G</v>
          </cell>
          <cell r="B134">
            <v>2</v>
          </cell>
        </row>
        <row r="135">
          <cell r="A135" t="str">
            <v>[8906120583954] PILGRIM ROLL ON UNDER EYE SERUM - 15 ML</v>
          </cell>
          <cell r="B135">
            <v>7</v>
          </cell>
        </row>
        <row r="136">
          <cell r="A136" t="str">
            <v>[8906120585392] PILGRIM TEA TREE PURIFYING FOAMING FACE WASH - 120ML</v>
          </cell>
          <cell r="B136">
            <v>1</v>
          </cell>
        </row>
        <row r="137">
          <cell r="A137" t="str">
            <v>[8906120585408] PILGRIM AUSTRALIAN TEA TREE PURIFYING GEL FACE WASH- 100ML</v>
          </cell>
          <cell r="B137">
            <v>3</v>
          </cell>
        </row>
        <row r="138">
          <cell r="A138" t="str">
            <v>[8906120585415] PILGRIM TEA TREE PURIFYING TONER- 100ML</v>
          </cell>
          <cell r="B138">
            <v>2</v>
          </cell>
        </row>
        <row r="139">
          <cell r="A139" t="str">
            <v>[8906120586757] PILGRIM 1% VITAMIN C TONER- 100ML</v>
          </cell>
          <cell r="B139">
            <v>3</v>
          </cell>
        </row>
        <row r="140">
          <cell r="A140" t="str">
            <v>[8906120587495] PILGRIM VITAMIN C LIGHTENING LIP BALM SPF30-9GM</v>
          </cell>
          <cell r="B140">
            <v>1</v>
          </cell>
        </row>
        <row r="141">
          <cell r="A141" t="str">
            <v>[8906120587747] PILGRIM BB CREAM BEIGE GLOW-30 ML</v>
          </cell>
          <cell r="B141">
            <v>4</v>
          </cell>
        </row>
        <row r="142">
          <cell r="A142" t="str">
            <v>[8906120587754] PILGRIM GLOW PRIMER-30 ML</v>
          </cell>
          <cell r="B142">
            <v>1</v>
          </cell>
        </row>
        <row r="143">
          <cell r="A143" t="str">
            <v>[8906120587792] PILGRIM BB CREAM HONEY GLOW-30 ML</v>
          </cell>
          <cell r="B143">
            <v>3</v>
          </cell>
        </row>
        <row r="144">
          <cell r="A144" t="str">
            <v>[8906120587853] PILGRIM GLOW ILLUMINATING MOISTURIZER- 30ML</v>
          </cell>
          <cell r="B144">
            <v>1</v>
          </cell>
        </row>
        <row r="145">
          <cell r="A145" t="str">
            <v>[8906120588447] PILGRIM EYELINER BLACK SCANDAL- 3.5ML</v>
          </cell>
          <cell r="B145">
            <v>5</v>
          </cell>
        </row>
        <row r="146">
          <cell r="A146" t="str">
            <v>[8906120588591] PILGRIM SERUM FOUNDATION CLASSIC NUDE-30 ML</v>
          </cell>
          <cell r="B146">
            <v>1</v>
          </cell>
        </row>
        <row r="147">
          <cell r="A147" t="str">
            <v>[8906120588621] PILGRIM SERUM FOUNDATION GOLDEN BEIGE-30 ML</v>
          </cell>
          <cell r="B147">
            <v>1</v>
          </cell>
        </row>
        <row r="148">
          <cell r="A148" t="str">
            <v>[8906120588652] PILGRIM SERUM FOUNDATION WARM SAND-30 ML</v>
          </cell>
          <cell r="B148">
            <v>1</v>
          </cell>
        </row>
        <row r="149">
          <cell r="A149" t="str">
            <v>[8906120589161] PILGRIM 3% REDENSYL &amp; 4% ANAGAIN HAIR GROWTH SERUM-30 ML</v>
          </cell>
          <cell r="B149">
            <v>1</v>
          </cell>
        </row>
        <row r="150">
          <cell r="A150" t="str">
            <v>[8906120589185] PILGRIM 2% KOJIC ACID SERUM- 30ML</v>
          </cell>
          <cell r="B150">
            <v>3</v>
          </cell>
        </row>
        <row r="151">
          <cell r="A151" t="str">
            <v>[8906120589215] PILGRIM INSTA FIX MAKEUP SETTING SPRAY-60 ML</v>
          </cell>
          <cell r="B151">
            <v>2</v>
          </cell>
        </row>
        <row r="152">
          <cell r="A152" t="str">
            <v>[8906120589543] PILGRIM 1% HYALURONIC ACID AQUA SUNSCREEN GEL SPF 50 PA++++ -50G</v>
          </cell>
          <cell r="B152">
            <v>6</v>
          </cell>
        </row>
        <row r="153">
          <cell r="A153" t="str">
            <v>[8906120589550] PILGRIM 2% NIACINAMIDE GLOW SUNSCREEN SPF 50 PA+++ - 50G</v>
          </cell>
          <cell r="B153">
            <v>3</v>
          </cell>
        </row>
        <row r="154">
          <cell r="A154" t="str">
            <v>[8906120589611] PILGRIM 10% VITAMIN C FACE SERUM-30 ML</v>
          </cell>
          <cell r="B154">
            <v>9</v>
          </cell>
        </row>
        <row r="155">
          <cell r="A155" t="str">
            <v>[8906120589826] PILGRIM DREAM MATTE LOOSE POWDER- BANANA</v>
          </cell>
          <cell r="B155">
            <v>3</v>
          </cell>
        </row>
        <row r="156">
          <cell r="A156" t="str">
            <v>[8906128100016] MINIMALIST 2% SALICYLIC ACID SERUM 30ML</v>
          </cell>
          <cell r="B156">
            <v>2</v>
          </cell>
        </row>
        <row r="157">
          <cell r="A157" t="str">
            <v>[8906128100023] MINIMALIST 2% RETINOID ANTI AGEING NIGHT CREAM 30ML</v>
          </cell>
          <cell r="B157">
            <v>1</v>
          </cell>
        </row>
        <row r="158">
          <cell r="A158" t="str">
            <v>[8906128100030] MINIMALIST 10% NIACINAMIDE FACE SERUM 30ML</v>
          </cell>
          <cell r="B158">
            <v>6</v>
          </cell>
        </row>
        <row r="159">
          <cell r="A159" t="str">
            <v>[8906128100054] MINIMALIST 2% ALPHA ARBUTIN SERUM 30ML</v>
          </cell>
          <cell r="B159">
            <v>3</v>
          </cell>
        </row>
        <row r="160">
          <cell r="A160" t="str">
            <v>[8906128100061] MINIMALIST 2% HYALURONIC ACID + PGA SERUM 30ML</v>
          </cell>
          <cell r="B160">
            <v>1</v>
          </cell>
        </row>
        <row r="161">
          <cell r="A161" t="str">
            <v>[8906128100108] MINIMALIST 5% NIACINAMIDE DAY AND NIGHT FACE SERUM 30ML</v>
          </cell>
          <cell r="B161">
            <v>4</v>
          </cell>
        </row>
        <row r="162">
          <cell r="A162" t="str">
            <v>[8906128100160] MINIMALIST PHA 3% ALCOHOL FREE FACE TONER, 150 ML</v>
          </cell>
          <cell r="B162">
            <v>5</v>
          </cell>
        </row>
        <row r="163">
          <cell r="A163" t="str">
            <v>[8906128100177] MINIMALIST 3% TRANEXAMIC ACID FACE SERUM 30ML</v>
          </cell>
          <cell r="B163">
            <v>5</v>
          </cell>
        </row>
        <row r="164">
          <cell r="A164" t="str">
            <v>[8906128100184] MINIMALIST 0.3% RETINOL FACE SERUM 30ML</v>
          </cell>
          <cell r="B164">
            <v>4</v>
          </cell>
        </row>
        <row r="165">
          <cell r="A165" t="str">
            <v>[8906128100320] MINIMALIST 2% SALICYLIC ACID FACE WASH FOR OILY SKIN 100ML</v>
          </cell>
          <cell r="B165">
            <v>2</v>
          </cell>
        </row>
        <row r="166">
          <cell r="A166" t="str">
            <v>[8906128100375] MINIMALIST SPF 60 SUNSCREEN 50G</v>
          </cell>
          <cell r="B166">
            <v>4</v>
          </cell>
        </row>
        <row r="167">
          <cell r="A167" t="str">
            <v>[8906128100382] MINIMALIST SUNSCREEN CREAM SPF 50 LIGHTWEIGHT 50GM</v>
          </cell>
          <cell r="B167">
            <v>8</v>
          </cell>
        </row>
        <row r="168">
          <cell r="A168" t="str">
            <v>[8906128100443] MINIMALIST 10% VITAMIN B5 GEL FACE MOISTURIZER 50G</v>
          </cell>
          <cell r="B168">
            <v>10</v>
          </cell>
        </row>
        <row r="169">
          <cell r="A169" t="str">
            <v>[8906128100504] MINIMALIST 16% VITAMIN C FACE SERUM 20ML</v>
          </cell>
          <cell r="B169">
            <v>14</v>
          </cell>
        </row>
        <row r="170">
          <cell r="A170" t="str">
            <v>[8906128100528] MINIMALIST GENTLE CLEANSER OAT EXTRACT FOR SENSITIVE SKIN 120ML</v>
          </cell>
          <cell r="B170">
            <v>8</v>
          </cell>
        </row>
        <row r="171">
          <cell r="A171" t="str">
            <v>[8906128100535] MINIMALIST 7% ALA &amp; AHA BRIGHTENING FACE WASH 100ML</v>
          </cell>
          <cell r="B171">
            <v>1</v>
          </cell>
        </row>
        <row r="172">
          <cell r="A172" t="str">
            <v>[8906128100696] MINIMALIST L-ASCORBIC ACID 08%LIP TREATMENT BALM- 12G</v>
          </cell>
          <cell r="B172">
            <v>1</v>
          </cell>
        </row>
        <row r="173">
          <cell r="A173" t="str">
            <v>[8906128100870] MINIMALIST VITAMIN K +RETINAL 01% EYECREAM- 14G</v>
          </cell>
          <cell r="B173">
            <v>2</v>
          </cell>
        </row>
        <row r="174">
          <cell r="A174" t="str">
            <v>[8906147700129] DOT &amp; KEY CICA NIACINAMIDE SUNSCREEN- 50 GM</v>
          </cell>
          <cell r="B174">
            <v>2</v>
          </cell>
        </row>
        <row r="175">
          <cell r="A175" t="str">
            <v>[8906147700396] DOT &amp; KEY CICA FACE WASH- 100 ML</v>
          </cell>
          <cell r="B175">
            <v>3</v>
          </cell>
        </row>
        <row r="176">
          <cell r="A176" t="str">
            <v>[8906147700433] DOT &amp; KEY LIP BALM STRAWBERRY CRUSH- 12 GM</v>
          </cell>
          <cell r="B176">
            <v>1</v>
          </cell>
        </row>
        <row r="177">
          <cell r="A177" t="str">
            <v>[8906147700471] DOT &amp; KEY 10% VITAMIN C + E, 5% NIACINAMIDE SERUM- 30 ML</v>
          </cell>
          <cell r="B177">
            <v>1</v>
          </cell>
        </row>
        <row r="178">
          <cell r="A178" t="str">
            <v>[8906147700587] DOT &amp; KEY VITAMIN C SUNSCREEN- 50 GM</v>
          </cell>
          <cell r="B178">
            <v>4</v>
          </cell>
        </row>
        <row r="179">
          <cell r="A179" t="str">
            <v>[8906147701010] DOT &amp; KEY CICA +NIACINAMIDE OIL - FREE MOISTURIZER- 60 ML</v>
          </cell>
          <cell r="B179">
            <v>1</v>
          </cell>
        </row>
        <row r="180">
          <cell r="A180" t="str">
            <v>[8906147701201] DOT &amp; KEY STRAWBERRY DEW SUNSCREEN STICK SPF 50* PA++- 20G</v>
          </cell>
          <cell r="B180">
            <v>1</v>
          </cell>
        </row>
        <row r="181">
          <cell r="A181" t="str">
            <v>[8906147701218] DOT &amp; KEY VITAMIN C + E SUPER BRIGHT GEL FACE WASH - 100ML</v>
          </cell>
          <cell r="B181">
            <v>3</v>
          </cell>
        </row>
        <row r="182">
          <cell r="A182" t="str">
            <v>[8906147701331] DOT &amp; KEY STRAWBERRY DEW MELT-IN-A-FLASH CLEANSING BALM- 70 ML</v>
          </cell>
          <cell r="B182">
            <v>1</v>
          </cell>
        </row>
        <row r="183">
          <cell r="A183" t="str">
            <v>[8906147702109] DOT &amp; KEY MANGO DETAN GEL FACE WASH - 100 ML</v>
          </cell>
          <cell r="B183">
            <v>2</v>
          </cell>
        </row>
        <row r="184">
          <cell r="A184" t="str">
            <v>[8906148700029] DR. SHETH’S CERAMIDE &amp; VITAMIN C SUNSCREEN-50GM</v>
          </cell>
          <cell r="B184">
            <v>3</v>
          </cell>
        </row>
        <row r="185">
          <cell r="A185" t="str">
            <v>[8906148700289] DR. SHETH’S NEEM &amp; SALICYLIC ACID FACE WASH - 100G</v>
          </cell>
          <cell r="B185">
            <v>3</v>
          </cell>
        </row>
        <row r="186">
          <cell r="A186" t="str">
            <v>[8906148700302] DR. SHETH’S CERAMIDE &amp; VITAMIN C OIL-FREE MOISTURIZER - 50G</v>
          </cell>
          <cell r="B186">
            <v>2</v>
          </cell>
        </row>
        <row r="187">
          <cell r="A187" t="str">
            <v>[8906148700425] DR. SHETH’S CENTELLA &amp; NIACINAMIDE &amp; ACNE CONTROL SUNSCREEN-50GM</v>
          </cell>
          <cell r="B187">
            <v>3</v>
          </cell>
        </row>
        <row r="188">
          <cell r="A188" t="str">
            <v>[8906148700487] DR. SHETH’S CERAMIDE &amp; VITAMIN C FACE WASH -100G</v>
          </cell>
          <cell r="B188">
            <v>3</v>
          </cell>
        </row>
        <row r="189">
          <cell r="A189" t="str">
            <v>[8906148700579] DR. SHETH’S CERAMIDE &amp; VITAMIN C SUNSCREEN-80G</v>
          </cell>
          <cell r="B189">
            <v>1</v>
          </cell>
        </row>
        <row r="190">
          <cell r="A190" t="str">
            <v>[8906148700869] DR. SHETH'S KESAR &amp; KOJIC ACID OIL-FREE MOISTURIZER - 50GM</v>
          </cell>
          <cell r="B190">
            <v>2</v>
          </cell>
        </row>
        <row r="191">
          <cell r="A191" t="str">
            <v>[8906148701514] DR. SHETH'S GULAB &amp; GLYCOLIC ACID UNDERARM ROLL ON 50ML</v>
          </cell>
          <cell r="B191">
            <v>1</v>
          </cell>
        </row>
        <row r="192">
          <cell r="A192" t="str">
            <v>[8906157900076] BARE ANATOMY ANTI HAIRFALL SHAMPOO 250ML</v>
          </cell>
          <cell r="B192">
            <v>5</v>
          </cell>
        </row>
        <row r="193">
          <cell r="A193" t="str">
            <v>[8906157900113] BARE ANATOMY ANTI DANDRUFF SHAMPOO - 250ML</v>
          </cell>
          <cell r="B193">
            <v>5</v>
          </cell>
        </row>
        <row r="194">
          <cell r="A194" t="str">
            <v>[8906157900243] BARE ANATOMY HEAT PROTECTION SPRAY – 150ML</v>
          </cell>
          <cell r="B194">
            <v>1</v>
          </cell>
        </row>
        <row r="195">
          <cell r="A195" t="str">
            <v>[8906157900427] CHEMIST AT PLAY AHA BODY LOTION 5% NATURAL AHA, N+ S BUTTER</v>
          </cell>
          <cell r="B195">
            <v>1</v>
          </cell>
        </row>
        <row r="196">
          <cell r="A196" t="str">
            <v>[8906157900489] CHEMIST AT PLAY NECK, KNEE, ELBOW BRIGHTENING ROLL ON - 40ML.</v>
          </cell>
          <cell r="B196">
            <v>2</v>
          </cell>
        </row>
        <row r="197">
          <cell r="A197" t="str">
            <v>[8906157900519] CHEMIST AT PLAY RETINOL BODY LOTION- 200 ML</v>
          </cell>
          <cell r="B197">
            <v>1</v>
          </cell>
        </row>
        <row r="198">
          <cell r="A198" t="str">
            <v>[8906157900526] BARE ANATOMY CURL DEFINING GEL- 140ML</v>
          </cell>
          <cell r="B198">
            <v>1</v>
          </cell>
        </row>
        <row r="199">
          <cell r="A199" t="str">
            <v>[8906157900533] BARE ANATOMY CURL INTENSIFYING LEAVE IN CONDITIONER 140ML</v>
          </cell>
          <cell r="B199">
            <v>1</v>
          </cell>
        </row>
        <row r="200">
          <cell r="A200" t="str">
            <v>[8906157900557] BARE ANATOMY CURL DEFINING SHAMPOO- 250ML</v>
          </cell>
          <cell r="B200">
            <v>2</v>
          </cell>
        </row>
        <row r="201">
          <cell r="A201" t="str">
            <v>[8906157900632] CHEMIST AT PLAY UNDER ARM ROLL ON WOODY MUSK 40 ML</v>
          </cell>
          <cell r="B201">
            <v>2</v>
          </cell>
        </row>
        <row r="202">
          <cell r="A202" t="str">
            <v>[8906157900649] CHEMIST AT PLAY UNDER ARM ROLL ON ROYAL OUDH 40ML</v>
          </cell>
          <cell r="B202">
            <v>5</v>
          </cell>
        </row>
        <row r="203">
          <cell r="A203" t="str">
            <v>[8906157900656] CHEMIST AT PLAY UNDER ARM ROLL ON WHITE JASMINE 40ML</v>
          </cell>
          <cell r="B203">
            <v>6</v>
          </cell>
        </row>
        <row r="204">
          <cell r="A204" t="str">
            <v>[8906157900670] CHEMIST AT PLAY EXFOLIATING BODY SCRUB 75GM</v>
          </cell>
          <cell r="B204">
            <v>2</v>
          </cell>
        </row>
        <row r="205">
          <cell r="A205" t="str">
            <v>[8906157900809] CHEMIST AT PLAY BRIGHTENING BODY WASH - 236ML (3% CAMU CAMU &amp; ALPHA ARBUTIN)</v>
          </cell>
          <cell r="B205">
            <v>6</v>
          </cell>
        </row>
        <row r="206">
          <cell r="A206" t="str">
            <v>[8906157901127] CHEMIST AT PLAY FOOT CREAM FOR CRACKED HEEL &amp; DIABETIC FOOT- 50GM</v>
          </cell>
          <cell r="B206">
            <v>1</v>
          </cell>
        </row>
        <row r="207">
          <cell r="A207" t="str">
            <v>[8906157901356] BARE ANATOMY HYDRATING CONDITIONER WITH ROSEMARY &amp; COCONUT- 150GM</v>
          </cell>
          <cell r="B207">
            <v>3</v>
          </cell>
        </row>
        <row r="208">
          <cell r="A208" t="str">
            <v>[8906157902087] BARE ANATOMY ADVANCED HAIR GROWTH SERUM 30ML</v>
          </cell>
          <cell r="B208">
            <v>6</v>
          </cell>
        </row>
        <row r="209">
          <cell r="A209" t="str">
            <v>[8906157902629] BARE ANATOMY ANTI FRIZZ LEAVE IN CONDITIONER 150ML</v>
          </cell>
          <cell r="B209">
            <v>3</v>
          </cell>
        </row>
        <row r="210">
          <cell r="A210" t="str">
            <v>[8906157902643] BARE ANATOMY SHAMPOO WITH ROSEMARY &amp; COCONUT MILK- 200 ML</v>
          </cell>
          <cell r="B210">
            <v>4</v>
          </cell>
        </row>
        <row r="211">
          <cell r="A211" t="str">
            <v>[8906157903220] CHEMIST AT PLAY 10% VITAMIN C FACE SERUM-30ML</v>
          </cell>
          <cell r="B211">
            <v>2</v>
          </cell>
        </row>
        <row r="212">
          <cell r="A212" t="str">
            <v>[8906157903459] BARE ANATOMY ROSEMARY WATER FOR HAIR GROWTH WITH RICE WATER, 200ML</v>
          </cell>
          <cell r="B212">
            <v>2</v>
          </cell>
        </row>
        <row r="213">
          <cell r="A213" t="str">
            <v>[8906157903824] CHEMIST AT PLAY CHERRY LIP JELLY SPF 50 PA++++ GLOSSY LIP BALM-10GM</v>
          </cell>
          <cell r="B213">
            <v>2</v>
          </cell>
        </row>
        <row r="214">
          <cell r="A214" t="str">
            <v>[8906157903947] BARE ANATOMY EXPERT SLEEK HAIR FINISHING STICK -10ML</v>
          </cell>
          <cell r="B214">
            <v>1</v>
          </cell>
        </row>
        <row r="215">
          <cell r="A215" t="str">
            <v>[8906157904548] CHEMIST AT PLAY TRI ACTIVE ROLL ON AQUA- 40ML</v>
          </cell>
          <cell r="B215">
            <v>4</v>
          </cell>
        </row>
        <row r="216">
          <cell r="A216" t="str">
            <v>[8908016593368] BARE ANATOMY DAMAGE REPAIR HAIR SERUM - 100ML</v>
          </cell>
          <cell r="B216">
            <v>2</v>
          </cell>
        </row>
        <row r="217">
          <cell r="A217" t="str">
            <v>[8908016593375] BARE ANATOMY ULTRA SMOOTHING HAIR SERUM - 100ML</v>
          </cell>
          <cell r="B217">
            <v>1</v>
          </cell>
        </row>
        <row r="218">
          <cell r="A218" t="str">
            <v>[8908016593399] CHEMIST AT PLAY ACNE CONTROL BODY WASH WITH CERAMIDES 3% PENTAVITIN + 1% SALICYLIC ACID</v>
          </cell>
          <cell r="B218">
            <v>5</v>
          </cell>
        </row>
        <row r="219">
          <cell r="A219" t="str">
            <v>[8908016593443] BARE ANATOMY DAMAGE REPAIR HAIR MASK - 250GM</v>
          </cell>
          <cell r="B219">
            <v>2</v>
          </cell>
        </row>
        <row r="220">
          <cell r="A220" t="str">
            <v>[8908016593450] BARE ANATOMY ULTRA SMOOTHING HAIR MASK - 250GM</v>
          </cell>
          <cell r="B220">
            <v>4</v>
          </cell>
        </row>
        <row r="221">
          <cell r="A221" t="str">
            <v>[8908016593511] CHEMIST AT PLAY OIL AND ACNE CONTROL FACE WASH 100ML</v>
          </cell>
          <cell r="B221">
            <v>1</v>
          </cell>
        </row>
        <row r="222">
          <cell r="A222" t="str">
            <v>[8908016593535] CHEMIST AT PLAY GENTLE &amp; HYDRATING FACE WASH - 100ML</v>
          </cell>
          <cell r="B222">
            <v>1</v>
          </cell>
        </row>
        <row r="223">
          <cell r="A223" t="str">
            <v>[8908016593566] BARE ANATOMY COLOR PROTECT HAIR MASK - 250GM</v>
          </cell>
          <cell r="B223">
            <v>1</v>
          </cell>
        </row>
        <row r="224">
          <cell r="A224" t="str">
            <v>[8908016593573] BARE ANATOMY DAMAGE REPAIR SHAMPOO - 250ML</v>
          </cell>
          <cell r="B224">
            <v>4</v>
          </cell>
        </row>
        <row r="225">
          <cell r="A225" t="str">
            <v>[8908016593597] BARE ANATOMY ULTRA SMOOTHING SHAMPOO - 250ML</v>
          </cell>
          <cell r="B225">
            <v>3</v>
          </cell>
        </row>
        <row r="226">
          <cell r="A226" t="str">
            <v>[8908016593603] BARE ANATOMY VOLUMIZING SHAMPOO - 250ML</v>
          </cell>
          <cell r="B226">
            <v>2</v>
          </cell>
        </row>
        <row r="227">
          <cell r="A227" t="str">
            <v>[8908016593610] BARE ANATOMY COLOR PROTECT SHAMPOO - 250ML</v>
          </cell>
          <cell r="B227">
            <v>2</v>
          </cell>
        </row>
        <row r="228">
          <cell r="A228" t="str">
            <v>[8908016593641] CHEMIST AT PLAY EXFOLIATING BODY WASH 236ML</v>
          </cell>
          <cell r="B228">
            <v>4</v>
          </cell>
        </row>
        <row r="229">
          <cell r="A229" t="str">
            <v>[8908016593856] CHEMIST AT PLAY UNDER ARM ROLL ON - AQUA FRAGRANCE - 40ML (4% LACTIC ACID + 1% MANDELIC ACID)</v>
          </cell>
          <cell r="B229">
            <v>7</v>
          </cell>
        </row>
        <row r="230">
          <cell r="A230" t="str">
            <v>[8908016593863] CHEMIST AT PLAY UNDER ARM ROLL ON - FRAGRANCE FREE - 40ML (4% LACTIC ACID + 1% MANDELIC ACID)</v>
          </cell>
          <cell r="B230">
            <v>3</v>
          </cell>
        </row>
        <row r="231">
          <cell r="A231" t="str">
            <v>[8908016593955] CHEMIST AT PLAY UNDER ARM ROLL ON - PEACH FRAGRANCE - 40ML</v>
          </cell>
          <cell r="B231">
            <v>8</v>
          </cell>
        </row>
        <row r="232">
          <cell r="A232" t="str">
            <v>[BDCL109] BEARDO JAMAICAN RUM SOAP 75G</v>
          </cell>
          <cell r="B232">
            <v>3</v>
          </cell>
        </row>
        <row r="233">
          <cell r="A233" t="str">
            <v>[BDDE01] BEARDO SPY PERFUME BODY SPRAY, 120ML</v>
          </cell>
          <cell r="B233">
            <v>2</v>
          </cell>
        </row>
        <row r="234">
          <cell r="A234" t="str">
            <v>[BDDE02] [BDDE02] BEARDO MAFIA PERFUME BODY SPRAY, 120ML</v>
          </cell>
          <cell r="B234">
            <v>3</v>
          </cell>
        </row>
        <row r="235">
          <cell r="A235" t="str">
            <v>[BDDE04] BEARDO WHISKEY SMOKE BODY SPRAY-120ML</v>
          </cell>
          <cell r="B235">
            <v>3</v>
          </cell>
        </row>
        <row r="236">
          <cell r="A236" t="str">
            <v>[BDDE08] BEARDO DON PERFUME BODY SPRAY 150ML</v>
          </cell>
          <cell r="B236">
            <v>1</v>
          </cell>
        </row>
        <row r="237">
          <cell r="A237" t="str">
            <v>[BDDE09] BEARDO MARINER PERFUME DEO SPRAY 150 ML</v>
          </cell>
          <cell r="B237">
            <v>2</v>
          </cell>
        </row>
        <row r="238">
          <cell r="A238" t="str">
            <v>[BDDE18] BEARDO LEGACY PERFUME DEO SPRAY 150ML</v>
          </cell>
          <cell r="B238">
            <v>1</v>
          </cell>
        </row>
        <row r="239">
          <cell r="A239" t="str">
            <v>[BDSE002] BEARDO HAIR SERUM WITH ARGAN OIL FOR MEN, 50ML</v>
          </cell>
          <cell r="B239">
            <v>1</v>
          </cell>
        </row>
        <row r="240">
          <cell r="A240" t="str">
            <v>[BDTO008] BEARDO NYLON BRUSH</v>
          </cell>
          <cell r="B240">
            <v>1</v>
          </cell>
        </row>
        <row r="241">
          <cell r="A241" t="str">
            <v>[BLFR0150BMT3157] PLUM BODYLOVIN' FEELIN' SO ROSE BODY MIST, 150ML</v>
          </cell>
          <cell r="B241">
            <v>3</v>
          </cell>
        </row>
        <row r="242">
          <cell r="A242" t="str">
            <v>[BLHR0015EDP3881] PLUM BODYLOVIN' HAWAIIAN RUMBA EAU DE PARFUM- 15 ML</v>
          </cell>
          <cell r="B242">
            <v>3</v>
          </cell>
        </row>
        <row r="243">
          <cell r="A243" t="str">
            <v>[BLVV0100BMT7322] PLUM BODYLOVIN' VANILLA VIBES BODY MIST 100ML</v>
          </cell>
          <cell r="B243">
            <v>1</v>
          </cell>
        </row>
        <row r="244">
          <cell r="A244" t="str">
            <v>[C00989] UBIYA DERMA CLEANSING FACE WASH- 100ML</v>
          </cell>
          <cell r="B244">
            <v>1</v>
          </cell>
        </row>
        <row r="245">
          <cell r="A245" t="str">
            <v>[C00990] UBIYA DERMA SKIN THERAPY MOISTURIZER CREAM- 80GM</v>
          </cell>
          <cell r="B245">
            <v>1</v>
          </cell>
        </row>
        <row r="246">
          <cell r="A246" t="str">
            <v>[C00991] UBIYA DERMA SKIN ESSENCE TONER</v>
          </cell>
          <cell r="B246">
            <v>2</v>
          </cell>
        </row>
        <row r="247">
          <cell r="A247" t="str">
            <v>[C00992] UBIYA DERMA SKIN REFINED TONER- 100ML</v>
          </cell>
          <cell r="B247">
            <v>1</v>
          </cell>
        </row>
        <row r="248">
          <cell r="A248" t="str">
            <v>[EL-DMC] PLUM E-LUMINENCE DEEP MOISTURIZING CREME, 50ML</v>
          </cell>
          <cell r="B248">
            <v>1</v>
          </cell>
        </row>
        <row r="249">
          <cell r="A249" t="str">
            <v>[EL-SSCB-0347] PLUM E-LUMINENCE SIMPLY SUPPLE CLEANSING BALM, 90GM</v>
          </cell>
          <cell r="B249">
            <v>2</v>
          </cell>
        </row>
        <row r="250">
          <cell r="A250" t="str">
            <v>[GC970] L.A. GIRL HD PRO CONCEALER (LIGHT IVORY)</v>
          </cell>
          <cell r="B250">
            <v>1</v>
          </cell>
        </row>
        <row r="251">
          <cell r="A251" t="str">
            <v>[GC978] L.A. GIRL HD PRO CONCEALER (MEDIUM BEIGE)</v>
          </cell>
          <cell r="B251">
            <v>2</v>
          </cell>
        </row>
        <row r="252">
          <cell r="A252" t="str">
            <v>[M241111] UBIYA DERMA AGELESS CREAM - 50GM</v>
          </cell>
          <cell r="B252">
            <v>1</v>
          </cell>
        </row>
        <row r="253">
          <cell r="A253" t="str">
            <v>[NOBFS50] WISHCARE 5% NIACINAMIDE OIL BALANCE FLUID SUNSCREEN SPF50 PA++++ - 50GM</v>
          </cell>
          <cell r="B253">
            <v>1</v>
          </cell>
        </row>
        <row r="254">
          <cell r="A254" t="str">
            <v>[P0435] PURITO SEOUL MIGHTY BAMBOO PANTHENOL CREAM 100ML</v>
          </cell>
          <cell r="B254">
            <v>3</v>
          </cell>
        </row>
        <row r="255">
          <cell r="A255" t="str">
            <v>[P0439] PURITO OAT-IN CALMING GEL CREAM -100ML</v>
          </cell>
          <cell r="B255">
            <v>5</v>
          </cell>
        </row>
        <row r="256">
          <cell r="A256" t="str">
            <v>[P1CLB5] WISHCARE CERAMIDE LIP BALM WITH SPF 50 PA+++ (TINTED) - 5GM</v>
          </cell>
          <cell r="B256">
            <v>4</v>
          </cell>
        </row>
        <row r="257">
          <cell r="A257" t="str">
            <v>[PLAR0250HRP1991] PLUM AVOCADO &amp; ARGAN FRIZZ CONTROL SHAMPOO 250ML</v>
          </cell>
          <cell r="B257">
            <v>1</v>
          </cell>
        </row>
        <row r="258">
          <cell r="A258" t="str">
            <v>[PLBK0020FSE3089] PLUM BAKUCHIOL &amp; 1% RETINOL SERUM (20 ML)</v>
          </cell>
          <cell r="B258">
            <v>2</v>
          </cell>
        </row>
        <row r="259">
          <cell r="A259" t="str">
            <v>[PLBV0030FSE3058] PLUM BULGARIAN ROSE &amp; 2% HYALURONIC ACID SERUM (30 ML)</v>
          </cell>
          <cell r="B259">
            <v>1</v>
          </cell>
        </row>
        <row r="260">
          <cell r="A260" t="str">
            <v>[PLGT0100FWA8121] PLUM GREEN TEA PORE CLEANSING FACE WASH 100 GM</v>
          </cell>
          <cell r="B260">
            <v>11</v>
          </cell>
        </row>
        <row r="261">
          <cell r="A261" t="str">
            <v>[PLGT0200FTN0058] PLUM GREEN TEA ALCOHOL- FREE FRAGRANCE FREE TONER 200ML</v>
          </cell>
          <cell r="B261">
            <v>4</v>
          </cell>
        </row>
        <row r="262">
          <cell r="A262" t="str">
            <v>[PLMB0012LBM1153] PLUM CANDY MELTS VEGAN LIP BALM - MELON BUBBLE YUM, 12G</v>
          </cell>
          <cell r="B262">
            <v>1</v>
          </cell>
        </row>
        <row r="263">
          <cell r="A263" t="str">
            <v>[PLMV0020FSE2600] PLUM MANDARIN &amp; 15 % VITAMIN C SERUM- 20ML</v>
          </cell>
          <cell r="B263">
            <v>2</v>
          </cell>
        </row>
        <row r="264">
          <cell r="A264" t="str">
            <v>[PLMV0110FWA4383] PLUM MANDARIN &amp; VITAMIN C FOAMING FACE WASH, 110ML</v>
          </cell>
          <cell r="B264">
            <v>2</v>
          </cell>
        </row>
        <row r="265">
          <cell r="A265" t="str">
            <v>[PLRV0005LBM0318] PLUM CANDY MELTS RED VELVET LOVE TINTED LIP BALM- 4.5 GM</v>
          </cell>
          <cell r="B265">
            <v>2</v>
          </cell>
        </row>
        <row r="266">
          <cell r="A266" t="str">
            <v>[PLRW0015FSE1995] PLUM RICE WATER &amp; 10% NIACINAMIDE SERUM (15 ml)</v>
          </cell>
          <cell r="B266">
            <v>5</v>
          </cell>
        </row>
        <row r="267">
          <cell r="A267" t="str">
            <v>[PLRW0030FSE1996] PLUM RICE WATER &amp; 10% NIACINAMIDE SERUM (30 ML)</v>
          </cell>
          <cell r="B267">
            <v>7</v>
          </cell>
        </row>
        <row r="268">
          <cell r="A268" t="str">
            <v>[PLRW1050SUS1070] PLUM RICE WATER &amp; NIACINAMIDE 2% HYBRID SUNSCREEN 50 GM</v>
          </cell>
          <cell r="B268">
            <v>11</v>
          </cell>
        </row>
        <row r="269">
          <cell r="A269" t="str">
            <v>[PLSA0030FSE1384] PLUM 2% ENCAPSULATED SALICYLIC ACID FACE SERUM (30 ML)</v>
          </cell>
          <cell r="B269">
            <v>2</v>
          </cell>
        </row>
        <row r="270">
          <cell r="A270" t="str">
            <v>[PLSP0100FWA6370] PLUM SAFFRON &amp; PAPAYA GLOW BRIGHT FACE WASH 100ML</v>
          </cell>
          <cell r="B270">
            <v>3</v>
          </cell>
        </row>
        <row r="271">
          <cell r="A271" t="str">
            <v>[PLSS0005LBM0325] PLUM CANDY MELTS STRAWBERRY SORBET TINTED LIP BALM- 4.5 GM</v>
          </cell>
          <cell r="B271">
            <v>1</v>
          </cell>
        </row>
        <row r="272">
          <cell r="A272" t="str">
            <v>[PNG01873] WHISPER CHOICE NIGHT SANITARY PADS (XXL) 6'S</v>
          </cell>
          <cell r="B272">
            <v>2</v>
          </cell>
        </row>
        <row r="273">
          <cell r="A273" t="str">
            <v>[PNG02004] WHISPER ULTRA CLEAN SANITARY PADS ,XL HYGIENE &amp; COMFORT</v>
          </cell>
          <cell r="B273">
            <v>1</v>
          </cell>
        </row>
        <row r="274">
          <cell r="A274" t="str">
            <v>[SPFBL200] WISHCARE SPF 50 SUNSCREEN BODY LOTION - PA+++ UVA &amp; UVB - 200ML</v>
          </cell>
          <cell r="B274">
            <v>1</v>
          </cell>
        </row>
        <row r="275">
          <cell r="A275" t="str">
            <v>[TPS100] THE PUREST SOLUTIONS NIACINAMIDE 5% + ZINC INTENSIVE SERUM 30ML</v>
          </cell>
          <cell r="B275">
            <v>2</v>
          </cell>
        </row>
        <row r="276">
          <cell r="A276" t="str">
            <v>[TPS104] THE PUREST SOLUTIONS 5% GYCOLIC ACID TONER AHA + BHA TONER 200ML</v>
          </cell>
          <cell r="B276">
            <v>1</v>
          </cell>
        </row>
        <row r="277">
          <cell r="A277" t="str">
            <v>[TPS201] THE PUREST SOLUTIONS REJUVENATING RETINOL SERUM + CERAMIDE 30ML</v>
          </cell>
          <cell r="B277">
            <v>1</v>
          </cell>
        </row>
        <row r="278">
          <cell r="A278" t="str">
            <v>[TPS204] THE PUREST SOLUTIONS UV PROTECTION SUNSCREEN 50ML</v>
          </cell>
          <cell r="B278">
            <v>2</v>
          </cell>
        </row>
        <row r="279">
          <cell r="A279" t="str">
            <v>[UARM50] WISHCARE UNDER ARM ROLL ON SERUM - 50ML</v>
          </cell>
          <cell r="B279">
            <v>1</v>
          </cell>
        </row>
        <row r="280">
          <cell r="A280" t="str">
            <v>[WHGS30] WISHCARE HAIR GROWTH SERUM 3% RDSYL, 4% ANAGAIN, RW, BIOTIN - 30ML</v>
          </cell>
          <cell r="B280">
            <v>2</v>
          </cell>
        </row>
        <row r="281">
          <cell r="A281" t="str">
            <v>ACMIST MOISTURIZING CREAM GEL- 100 GM</v>
          </cell>
          <cell r="B281">
            <v>7</v>
          </cell>
        </row>
        <row r="282">
          <cell r="A282" t="str">
            <v>ACMIST MOISTURIZING CREAM GEL 50G</v>
          </cell>
          <cell r="B282">
            <v>4</v>
          </cell>
        </row>
        <row r="283">
          <cell r="A283" t="str">
            <v>ACNE DERMA FACEWASH GEL 60GM</v>
          </cell>
          <cell r="B283">
            <v>4</v>
          </cell>
        </row>
        <row r="284">
          <cell r="A284" t="str">
            <v>ACNEMOIST CREAM - FOR ACNE PRONE SKIN, 60GM</v>
          </cell>
          <cell r="B284">
            <v>3</v>
          </cell>
        </row>
        <row r="285">
          <cell r="A285" t="str">
            <v>ACNES CLEAR PATCH (24 PATCHES)</v>
          </cell>
          <cell r="B285">
            <v>5</v>
          </cell>
        </row>
        <row r="286">
          <cell r="A286" t="str">
            <v>ANUA AIR SUN CREAM SPF 50+ PA++++ 50ML</v>
          </cell>
          <cell r="B286">
            <v>2</v>
          </cell>
        </row>
        <row r="287">
          <cell r="A287" t="str">
            <v>ANUA HEARTLEAF 77% SOOTHING TONER 150ML</v>
          </cell>
          <cell r="B287">
            <v>2</v>
          </cell>
        </row>
        <row r="288">
          <cell r="A288" t="str">
            <v>ANUA HEARTLEAF PORE CONTROL CLEANSING OIL- 200ML</v>
          </cell>
          <cell r="B288">
            <v>4</v>
          </cell>
        </row>
        <row r="289">
          <cell r="A289" t="str">
            <v>ANUA HEARTLEAF SUCCINIC MOISTURE CLEANSING FOAM - 150ML</v>
          </cell>
          <cell r="B289">
            <v>2</v>
          </cell>
        </row>
        <row r="290">
          <cell r="A290" t="str">
            <v>ANUA PEACH 70 NIACIN SERUM, 30ML</v>
          </cell>
          <cell r="B290">
            <v>1</v>
          </cell>
        </row>
        <row r="291">
          <cell r="A291" t="str">
            <v>ANUA PEACH 77 NIACIN ESSENCE TONER- 250 ML</v>
          </cell>
          <cell r="B291">
            <v>2</v>
          </cell>
        </row>
        <row r="292">
          <cell r="A292" t="str">
            <v>AXIS-Y DARK SPOT CORRECTING GLOW SERUM 50ML</v>
          </cell>
          <cell r="B292">
            <v>2</v>
          </cell>
        </row>
        <row r="293">
          <cell r="A293" t="str">
            <v>AXIS-Y VEGAN COLLAGEN EYE SERUM - 10ML</v>
          </cell>
          <cell r="B293">
            <v>1</v>
          </cell>
        </row>
        <row r="294">
          <cell r="A294" t="str">
            <v>BARE ANATOMY CURL ENHANCING HAIR MASK- 250GM</v>
          </cell>
          <cell r="B294">
            <v>2</v>
          </cell>
        </row>
        <row r="295">
          <cell r="A295" t="str">
            <v>BARE ANATOMY DAMAGE REPAIR HAIR SERUM - 100ML</v>
          </cell>
          <cell r="B295">
            <v>1</v>
          </cell>
        </row>
        <row r="296">
          <cell r="A296" t="str">
            <v>BARE ANATOMY DERMA ROLLER 0.25MM WITH 540 TITANIUM NEEDLES</v>
          </cell>
          <cell r="B296">
            <v>1</v>
          </cell>
        </row>
        <row r="297">
          <cell r="A297" t="str">
            <v>BATH AND BODY WORKS LOTION 236ML- A THOUSAND WISHES</v>
          </cell>
          <cell r="B297">
            <v>1</v>
          </cell>
        </row>
        <row r="298">
          <cell r="A298" t="str">
            <v>BATH AND BODY WORKS LOTION 236ML- JAPANESE CHERRY BLOSSOM</v>
          </cell>
          <cell r="B298">
            <v>1</v>
          </cell>
        </row>
        <row r="299">
          <cell r="A299" t="str">
            <v>BATH AND BODY WORKS MIST 236ML- YOURE THE ONE</v>
          </cell>
          <cell r="B299">
            <v>1</v>
          </cell>
        </row>
        <row r="300">
          <cell r="A300" t="str">
            <v>BATISTE DRY SHAMPOO 200ML - CHERRY</v>
          </cell>
          <cell r="B300">
            <v>2</v>
          </cell>
        </row>
        <row r="301">
          <cell r="A301" t="str">
            <v>BATISTE DRY SHAMPOO FRESH 200ML</v>
          </cell>
          <cell r="B301">
            <v>1</v>
          </cell>
        </row>
        <row r="302">
          <cell r="A302" t="str">
            <v>BATISTE DRY SHAMPOO ORIGINAL 200ML</v>
          </cell>
          <cell r="B302">
            <v>2</v>
          </cell>
        </row>
        <row r="303">
          <cell r="A303" t="str">
            <v>BATISTE DRY SHAMPOO SWEETIE- 200ML</v>
          </cell>
          <cell r="B303">
            <v>2</v>
          </cell>
        </row>
        <row r="304">
          <cell r="A304" t="str">
            <v>BATISTE DRY SHAMPOO TROPICAL 200ML</v>
          </cell>
          <cell r="B304">
            <v>1</v>
          </cell>
        </row>
        <row r="305">
          <cell r="A305" t="str">
            <v>BEAUTY OF JOSEON CENTELLA ASIATICA CALMING MASK - 1SHEET</v>
          </cell>
          <cell r="B305">
            <v>1</v>
          </cell>
        </row>
        <row r="306">
          <cell r="A306" t="str">
            <v>BEAUTY OF JOSEON DYNASTY CREAM 50ML</v>
          </cell>
          <cell r="B306">
            <v>3</v>
          </cell>
        </row>
        <row r="307">
          <cell r="A307" t="str">
            <v>BEAUTY OF JOSEON GLOW DEEP SERUM: RICE + ALPHA ARBUTIN 30ML</v>
          </cell>
          <cell r="B307">
            <v>1</v>
          </cell>
        </row>
        <row r="308">
          <cell r="A308" t="str">
            <v>BEAUTY OF JOSEON GLOW SERUM PROPOLIS+NIACINAMIDE, 30ML</v>
          </cell>
          <cell r="B308">
            <v>1</v>
          </cell>
        </row>
        <row r="309">
          <cell r="A309" t="str">
            <v>BEAUTY OF JOSEON RELIEF SUN AQUA-FRESH: RICE + B5 - 50ML</v>
          </cell>
          <cell r="B309">
            <v>7</v>
          </cell>
        </row>
        <row r="310">
          <cell r="A310" t="str">
            <v>BEAUTY OF JOSEON SPF 50 RELIEF SUN CREAM: RICE + PROBIOTICS - 50ML</v>
          </cell>
          <cell r="B310">
            <v>6</v>
          </cell>
        </row>
        <row r="311">
          <cell r="A311" t="str">
            <v>BELLA VITA DATE WOMAN 100ML</v>
          </cell>
          <cell r="B311">
            <v>5</v>
          </cell>
        </row>
        <row r="312">
          <cell r="A312" t="str">
            <v>BELLA VITA HONEY OUD 100ML</v>
          </cell>
          <cell r="B312">
            <v>2</v>
          </cell>
        </row>
        <row r="313">
          <cell r="A313" t="str">
            <v>BELLA VITA KLUB MAN 100ML</v>
          </cell>
          <cell r="B313">
            <v>2</v>
          </cell>
        </row>
        <row r="314">
          <cell r="A314" t="str">
            <v>BELLA VITA KLUB MAN DEO PARFUM - 150ML</v>
          </cell>
          <cell r="B314">
            <v>1</v>
          </cell>
        </row>
        <row r="315">
          <cell r="A315" t="str">
            <v>BELLA VITA LUXURY CEO BODY SPRAY-120ML</v>
          </cell>
          <cell r="B315">
            <v>1</v>
          </cell>
        </row>
        <row r="316">
          <cell r="A316" t="str">
            <v>BELLA VITA LUXURY CEO MAN PERFUME- 20 ML</v>
          </cell>
          <cell r="B316">
            <v>2</v>
          </cell>
        </row>
        <row r="317">
          <cell r="A317" t="str">
            <v>BELLA VITA LUXURY GLAM PERFUME- 20 ML</v>
          </cell>
          <cell r="B317">
            <v>1</v>
          </cell>
        </row>
        <row r="318">
          <cell r="A318" t="str">
            <v>BELLA VITA LUXURY OUD WHITE BODY SPRAY-120ML</v>
          </cell>
          <cell r="B318">
            <v>1</v>
          </cell>
        </row>
        <row r="319">
          <cell r="A319" t="str">
            <v>BELLA VITA LUXURY SKAI AQUATIC BODY SPRAY-120ML</v>
          </cell>
          <cell r="B319">
            <v>1</v>
          </cell>
        </row>
        <row r="320">
          <cell r="A320" t="str">
            <v>BELLA VITA LUXURY SKAI AQUATIC PERFUME- 20 ML</v>
          </cell>
          <cell r="B320">
            <v>1</v>
          </cell>
        </row>
        <row r="321">
          <cell r="A321" t="str">
            <v>BELLA VITA ORGANIC GLAM WOMEN LUXURY PERFUME 100ML</v>
          </cell>
          <cell r="B321">
            <v>1</v>
          </cell>
        </row>
        <row r="322">
          <cell r="A322" t="str">
            <v>BELLA VITA WHITE OUD WHITE UNISEX- 100ML</v>
          </cell>
          <cell r="B322">
            <v>1</v>
          </cell>
        </row>
        <row r="323">
          <cell r="A323" t="str">
            <v>BIODANCE BIO COLLAGEN REAL DEEP MASK (1PC)</v>
          </cell>
          <cell r="B323">
            <v>5</v>
          </cell>
        </row>
        <row r="324">
          <cell r="A324" t="str">
            <v>BIODERMA ATODERM CREME ULTRA NOURISHING 200ML</v>
          </cell>
          <cell r="B324">
            <v>10</v>
          </cell>
        </row>
        <row r="325">
          <cell r="A325" t="str">
            <v>BIODERMA PHOTODERM SPF 50+ AQUA FLUID 40ML</v>
          </cell>
          <cell r="B325">
            <v>2</v>
          </cell>
        </row>
        <row r="326">
          <cell r="A326" t="str">
            <v>BIODERMA SEBIUM HYDRA ULTRA MOISTURISING COMPENSATING CARE 40ML</v>
          </cell>
          <cell r="B326">
            <v>2</v>
          </cell>
        </row>
        <row r="327">
          <cell r="A327" t="str">
            <v>BIODERMA SENSIBIO H2O MICELLAR WATER (100 ml)</v>
          </cell>
          <cell r="B327">
            <v>5</v>
          </cell>
        </row>
        <row r="328">
          <cell r="A328" t="str">
            <v>CELIMAX THE VITA-A RETINAL SHOT TIGHTENING BOOSTER - 15ML</v>
          </cell>
          <cell r="B328">
            <v>10</v>
          </cell>
        </row>
        <row r="329">
          <cell r="A329" t="str">
            <v>CERAVE DAILY MOISTURIZING LOTION (16OZ - 473ML) (USA)</v>
          </cell>
          <cell r="B329">
            <v>1</v>
          </cell>
        </row>
        <row r="330">
          <cell r="A330" t="str">
            <v>CERAVE RENEWING SA CLEANSER (12OZ- 355ML)</v>
          </cell>
          <cell r="B330">
            <v>1</v>
          </cell>
        </row>
        <row r="331">
          <cell r="A331" t="str">
            <v>Cetaphil DAM Daily Advance Ultra Hydrating Lotion (100g)</v>
          </cell>
          <cell r="B331">
            <v>2</v>
          </cell>
        </row>
        <row r="332">
          <cell r="A332" t="str">
            <v>CETAPHIL GENTLE SKIN CLEANSER (125ML)</v>
          </cell>
          <cell r="B332">
            <v>6</v>
          </cell>
        </row>
        <row r="333">
          <cell r="A333" t="str">
            <v>Cetaphil Moisturising Cream (250g)</v>
          </cell>
          <cell r="B333">
            <v>3</v>
          </cell>
        </row>
        <row r="334">
          <cell r="A334" t="str">
            <v>CETAPHIL MOISTURISING LOTION- 100ML</v>
          </cell>
          <cell r="B334">
            <v>1</v>
          </cell>
        </row>
        <row r="335">
          <cell r="A335" t="str">
            <v>Cetaphil Moisturizing Cream (80G)</v>
          </cell>
          <cell r="B335">
            <v>7</v>
          </cell>
        </row>
        <row r="336">
          <cell r="A336" t="str">
            <v>Cetaphil Oily Skin Cleanser (125ml)</v>
          </cell>
          <cell r="B336">
            <v>5</v>
          </cell>
        </row>
        <row r="337">
          <cell r="A337" t="str">
            <v>Cetaphil Sun SPF 50+ Light Gel Very High Protection (50ml)</v>
          </cell>
          <cell r="B337">
            <v>2</v>
          </cell>
        </row>
        <row r="338">
          <cell r="A338" t="str">
            <v>CHADET LIPSTICK BROOKKIE 04- CHOCOLATE BROWN</v>
          </cell>
          <cell r="B338">
            <v>3</v>
          </cell>
        </row>
        <row r="339">
          <cell r="A339" t="str">
            <v>CHADET LIPSTICK ROYALE 05- BLOOD RED</v>
          </cell>
          <cell r="B339">
            <v>1</v>
          </cell>
        </row>
        <row r="340">
          <cell r="A340" t="str">
            <v>CHADET LIPSTICK SORBET 03- DUSTY PEACHY PINK</v>
          </cell>
          <cell r="B340">
            <v>1</v>
          </cell>
        </row>
        <row r="341">
          <cell r="A341" t="str">
            <v>CHADET LIPSTICK SQUISHY 01- BARBIE NUDE PINK</v>
          </cell>
          <cell r="B341">
            <v>2</v>
          </cell>
        </row>
        <row r="342">
          <cell r="A342" t="str">
            <v>CHEMIST AT PLAY CERAMIDES + KOJIC LIP BALM SPF 50 PA++++ CHERRY</v>
          </cell>
          <cell r="B342">
            <v>2</v>
          </cell>
        </row>
        <row r="343">
          <cell r="A343" t="str">
            <v>COSRX- ACNE PIMPLE MASTER PATCH</v>
          </cell>
          <cell r="B343">
            <v>14</v>
          </cell>
        </row>
        <row r="344">
          <cell r="A344" t="str">
            <v>COSRX ADVANCED SNAIL 92 ALL IN ONE CREAM 100 GM</v>
          </cell>
          <cell r="B344">
            <v>6</v>
          </cell>
        </row>
        <row r="345">
          <cell r="A345" t="str">
            <v>COSRX – ADVANCED SNAIL 96 MUCIN POWER ESSENCE 100ML</v>
          </cell>
          <cell r="B345">
            <v>5</v>
          </cell>
        </row>
        <row r="346">
          <cell r="A346" t="str">
            <v>COSRX ADVANCED SNAIL RADIANCE DUAL ESSENCE, 80ML</v>
          </cell>
          <cell r="B346">
            <v>1</v>
          </cell>
        </row>
        <row r="347">
          <cell r="A347" t="str">
            <v>COSRX ALOE SOOTHING SUNSCREEN -50ML</v>
          </cell>
          <cell r="B347">
            <v>3</v>
          </cell>
        </row>
        <row r="348">
          <cell r="A348" t="str">
            <v>COSRX HYALURONIC ACID INTENSIVE CREAM 100ML</v>
          </cell>
          <cell r="B348">
            <v>2</v>
          </cell>
        </row>
        <row r="349">
          <cell r="A349" t="str">
            <v>COSRX LOW PH GOOD MORNING GEL CLEANSER 150ML</v>
          </cell>
          <cell r="B349">
            <v>1</v>
          </cell>
        </row>
        <row r="350">
          <cell r="A350" t="str">
            <v>COSRX RETINOL 0.5 OIL- 20ML</v>
          </cell>
          <cell r="B350">
            <v>1</v>
          </cell>
        </row>
        <row r="351">
          <cell r="A351" t="str">
            <v>COSRX SALICYLIC ACID DAILY GENTLE CLEANSER 150ML</v>
          </cell>
          <cell r="B351">
            <v>4</v>
          </cell>
        </row>
        <row r="352">
          <cell r="A352" t="str">
            <v>COSRX ULTRA LIGHT INVISIBLE SUNSCREEN- 50 ML</v>
          </cell>
          <cell r="B352">
            <v>1</v>
          </cell>
        </row>
        <row r="353">
          <cell r="A353" t="str">
            <v>DERIVA MS GEL 15GM</v>
          </cell>
          <cell r="B353">
            <v>2</v>
          </cell>
        </row>
        <row r="354">
          <cell r="A354" t="str">
            <v>DOT &amp; KEY POMEGRANATE &amp; PEPTIDE YOUTH RESTORE MOISTURIZER SPF 30 60ML</v>
          </cell>
          <cell r="B354">
            <v>2</v>
          </cell>
        </row>
        <row r="355">
          <cell r="A355" t="str">
            <v>DOT &amp; KEY STRAWBERRY DEW TINTED SUNSCREEN SPF 50+ PA++++ - 03 SAND - 50ML</v>
          </cell>
          <cell r="B355">
            <v>1</v>
          </cell>
        </row>
        <row r="356">
          <cell r="A356" t="str">
            <v>DOT &amp; KEY STRAWBERRY DEW TINTED SUNSCREEN SPF 50+ PA++++ - 07 CARAMEL- 50ML</v>
          </cell>
          <cell r="B356">
            <v>3</v>
          </cell>
        </row>
        <row r="357">
          <cell r="A357" t="str">
            <v>DOVE STICK INVISIBLE DRY- 40GM</v>
          </cell>
          <cell r="B357">
            <v>4</v>
          </cell>
        </row>
        <row r="358">
          <cell r="A358" t="str">
            <v>DR. ALTHEA – 345 RELIEF CREAM - 50ML</v>
          </cell>
          <cell r="B358">
            <v>1</v>
          </cell>
        </row>
        <row r="359">
          <cell r="A359" t="str">
            <v>DR JK1 SUNSCREEN LOTION SPF50+++ 200 ML</v>
          </cell>
          <cell r="B359">
            <v>7</v>
          </cell>
        </row>
        <row r="360">
          <cell r="A360" t="str">
            <v>DR.JK 4 VITA-C COLLAGEN SUNSCREEN CREAM, 200ML</v>
          </cell>
          <cell r="B360">
            <v>1</v>
          </cell>
        </row>
        <row r="361">
          <cell r="A361" t="str">
            <v>DUVITIN CREAM 100GM</v>
          </cell>
          <cell r="B361">
            <v>1</v>
          </cell>
        </row>
        <row r="362">
          <cell r="A362" t="str">
            <v>EKRAN AQUA GEL SUNSCREEN 50GM</v>
          </cell>
          <cell r="B362">
            <v>1</v>
          </cell>
        </row>
        <row r="363">
          <cell r="A363" t="str">
            <v>ELIZAVECCA MILKY PEGGY COLLAGEN CERAMIDE COATING PROTEIN TREATMENT, 100ML</v>
          </cell>
          <cell r="B363">
            <v>1</v>
          </cell>
        </row>
        <row r="364">
          <cell r="A364" t="str">
            <v>ENCHANTEUR POCKET PERFUME ROMANTIC - 18ML</v>
          </cell>
          <cell r="B364">
            <v>1</v>
          </cell>
        </row>
        <row r="365">
          <cell r="A365" t="str">
            <v>EQQUALBERRY SWIMMING POOL DAILY FACIAL TONER - 155ML</v>
          </cell>
          <cell r="B365">
            <v>2</v>
          </cell>
        </row>
        <row r="366">
          <cell r="A366" t="str">
            <v>ETHIGLO FACE WASH 70GM</v>
          </cell>
          <cell r="B366">
            <v>2</v>
          </cell>
        </row>
        <row r="367">
          <cell r="A367" t="str">
            <v>ETUDE DEAR DARLING WATER TINT - 01-STRAWBERRY ADE</v>
          </cell>
          <cell r="B367">
            <v>1</v>
          </cell>
        </row>
        <row r="368">
          <cell r="A368" t="str">
            <v>ETUDE DEAR DARLING WATER TINT - 06-POMEGRANATE ADE</v>
          </cell>
          <cell r="B368">
            <v>1</v>
          </cell>
        </row>
        <row r="369">
          <cell r="A369" t="str">
            <v>FAIRY SKIN TINTED SUNSCREEN SPF 50 PA ++++ SHEER COVERAGE- 50 GM</v>
          </cell>
          <cell r="B369">
            <v>59</v>
          </cell>
        </row>
        <row r="370">
          <cell r="A370" t="str">
            <v>FIXDERMA NIGRIFIX CREAM 100GM</v>
          </cell>
          <cell r="B370">
            <v>2</v>
          </cell>
        </row>
        <row r="371">
          <cell r="A371" t="str">
            <v>FIXDERMA NON DRYING CLEANSER-75 GM</v>
          </cell>
          <cell r="B371">
            <v>2</v>
          </cell>
        </row>
        <row r="372">
          <cell r="A372" t="str">
            <v>FIXDERMA SHADOW RX SPF 55+ CREAM 75GM</v>
          </cell>
          <cell r="B372">
            <v>1</v>
          </cell>
        </row>
        <row r="373">
          <cell r="A373" t="str">
            <v>FIXDERMA SHADOW SPF 50+ CREAM 75GM</v>
          </cell>
          <cell r="B373">
            <v>4</v>
          </cell>
        </row>
        <row r="374">
          <cell r="A374" t="str">
            <v>FIXDERMA SHADOW SPF 50+ GEL 75GM</v>
          </cell>
          <cell r="B374">
            <v>4</v>
          </cell>
        </row>
        <row r="375">
          <cell r="A375" t="str">
            <v>FIXDERMA STRAWBERRY FACEWASH 75ML</v>
          </cell>
          <cell r="B375">
            <v>1</v>
          </cell>
        </row>
        <row r="376">
          <cell r="A376" t="str">
            <v>FIX MY CURLS DEFINING HAIR GEL-200ml</v>
          </cell>
          <cell r="B376">
            <v>1</v>
          </cell>
        </row>
        <row r="377">
          <cell r="A377" t="str">
            <v>FIX MY CURLS LEAVE IN CREAM - 100GM</v>
          </cell>
          <cell r="B377">
            <v>4</v>
          </cell>
        </row>
        <row r="378">
          <cell r="A378" t="str">
            <v>FIX MY CURLS QUENCHING FLAX SEED GELLY - 100GM</v>
          </cell>
          <cell r="B378">
            <v>2</v>
          </cell>
        </row>
        <row r="379">
          <cell r="A379" t="str">
            <v>FRUDIA MY ORCHARD HAND CREAM [CITRON]-30G</v>
          </cell>
          <cell r="B379">
            <v>1</v>
          </cell>
        </row>
        <row r="380">
          <cell r="A380" t="str">
            <v>FRUDIA MY ORCHARD HAND CREAM [PASSION FRUIT]-30G</v>
          </cell>
          <cell r="B380">
            <v>1</v>
          </cell>
        </row>
        <row r="381">
          <cell r="A381" t="str">
            <v>FURR BY PEE SAFE BIKINI LINE TRIMMING RAZOR</v>
          </cell>
          <cell r="B381">
            <v>4</v>
          </cell>
        </row>
        <row r="382">
          <cell r="A382" t="str">
            <v>FURR BY PEE SAFE BODY SHAVING RAZOR</v>
          </cell>
          <cell r="B382">
            <v>5</v>
          </cell>
        </row>
        <row r="383">
          <cell r="A383" t="str">
            <v>FURR DUAL HEAD FACE RAZOR FOR WOMEN (3 RAZORS)</v>
          </cell>
          <cell r="B383">
            <v>3</v>
          </cell>
        </row>
        <row r="384">
          <cell r="A384" t="str">
            <v>FURR NOSE STRIPS</v>
          </cell>
          <cell r="B384">
            <v>11</v>
          </cell>
        </row>
        <row r="385">
          <cell r="A385" t="str">
            <v>GEGE BEAR FIBER CURLY MASCARA, #1 - 10G</v>
          </cell>
          <cell r="B385">
            <v>2</v>
          </cell>
        </row>
        <row r="386">
          <cell r="A386" t="str">
            <v>GLUTAFINE FACEWASH 70GM</v>
          </cell>
          <cell r="B386">
            <v>4</v>
          </cell>
        </row>
        <row r="387">
          <cell r="A387" t="str">
            <v>GOOD MOLECULES DISCOLORATION CORRECTING SERUM -30ML</v>
          </cell>
          <cell r="B387">
            <v>2</v>
          </cell>
        </row>
        <row r="388">
          <cell r="A388" t="str">
            <v>HADA LABO ADVANCED NOURISH CLEANSER, 80 GM</v>
          </cell>
          <cell r="B388">
            <v>2</v>
          </cell>
        </row>
        <row r="389">
          <cell r="A389" t="str">
            <v>HADA LABO ADVANCED NOURISH CLEANSING OIL 200ML</v>
          </cell>
          <cell r="B389">
            <v>2</v>
          </cell>
        </row>
        <row r="390">
          <cell r="A390" t="str">
            <v>HADA LABO ADVANCED NOURISH CREAM, 50 GM</v>
          </cell>
          <cell r="B390">
            <v>1</v>
          </cell>
        </row>
        <row r="391">
          <cell r="A391" t="str">
            <v>HADA LABO PERFECT TRANEXAMIC ACID WHITE CLEANSER- 80 GM</v>
          </cell>
          <cell r="B391">
            <v>2</v>
          </cell>
        </row>
        <row r="392">
          <cell r="A392" t="str">
            <v>HADA LABO PERFECT WHITE TRANEXAMIC ACID LOTION 170ML</v>
          </cell>
          <cell r="B392">
            <v>2</v>
          </cell>
        </row>
        <row r="393">
          <cell r="A393" t="str">
            <v>HADA LABO PRO ANTI AGEING CLEANSER, 80 GM</v>
          </cell>
          <cell r="B393">
            <v>3</v>
          </cell>
        </row>
        <row r="394">
          <cell r="A394" t="str">
            <v>HARUHARU WONDER-BLACK RICE HYALURONIC TONER - 150ML</v>
          </cell>
          <cell r="B394">
            <v>2</v>
          </cell>
        </row>
        <row r="395">
          <cell r="A395" t="str">
            <v>HIMALAYA LIP BALM 10G</v>
          </cell>
          <cell r="B395">
            <v>2</v>
          </cell>
        </row>
        <row r="396">
          <cell r="A396" t="str">
            <v>HUMEDA RADIANCE UV CREAM 50 GM</v>
          </cell>
          <cell r="B396">
            <v>1</v>
          </cell>
        </row>
        <row r="397">
          <cell r="A397" t="str">
            <v>HYALU GEL 30GM</v>
          </cell>
          <cell r="B397">
            <v>1</v>
          </cell>
        </row>
        <row r="398">
          <cell r="A398" t="str">
            <v>I'M FROM RICE TONER - 150ML</v>
          </cell>
          <cell r="B398">
            <v>7</v>
          </cell>
        </row>
        <row r="399">
          <cell r="A399" t="str">
            <v>ISLAND MAGIC EXTRA VIRGIN COCONUT OIL, 200ML</v>
          </cell>
          <cell r="B399">
            <v>3</v>
          </cell>
        </row>
        <row r="400">
          <cell r="A400" t="str">
            <v>ISNTREE HYALURONIC ACID AQUA GEL CREAM 100ML</v>
          </cell>
          <cell r="B400">
            <v>1</v>
          </cell>
        </row>
        <row r="401">
          <cell r="A401" t="str">
            <v>ISNTREE HYALURONIC ACID WATERY SUN GEL- 50ML</v>
          </cell>
          <cell r="B401">
            <v>1</v>
          </cell>
        </row>
        <row r="402">
          <cell r="A402" t="str">
            <v>ISNTREE HYALURONIC ACID WATERY SUN GEL MINI - 10ML</v>
          </cell>
          <cell r="B402">
            <v>1</v>
          </cell>
        </row>
        <row r="403">
          <cell r="A403" t="str">
            <v>IUNIK CENTELLA CALMING DAILY SUNSCREEN - 60ML</v>
          </cell>
          <cell r="B403">
            <v>5</v>
          </cell>
        </row>
        <row r="404">
          <cell r="A404" t="str">
            <v>JINA ALCHEMY ABOVE &amp; BEYOND FACIAL OIL 50ML</v>
          </cell>
          <cell r="B404">
            <v>1</v>
          </cell>
        </row>
        <row r="405">
          <cell r="A405" t="str">
            <v>JINA ALCHEMY CLEANSING BALM MAKEUP REMOVER, 100 G</v>
          </cell>
          <cell r="B405">
            <v>8</v>
          </cell>
        </row>
        <row r="406">
          <cell r="A406" t="str">
            <v>JINA ALCHEMY THIRD EYE HAIR OIL 50ML</v>
          </cell>
          <cell r="B406">
            <v>3</v>
          </cell>
        </row>
        <row r="407">
          <cell r="A407" t="str">
            <v>JULIA POP NATURAL LUSTER LIQUID BLUSH - 04 RASPBERRY</v>
          </cell>
          <cell r="B407">
            <v>2</v>
          </cell>
        </row>
        <row r="408">
          <cell r="A408" t="str">
            <v>KARSEELL COLLAGEN HAIR TREATMENT DEEP REPAIR HAIR MASK - 500 ML</v>
          </cell>
          <cell r="B408">
            <v>7</v>
          </cell>
        </row>
        <row r="409">
          <cell r="A409" t="str">
            <v>KARSEELL MACA ESSENCE MOISTURE SHAMPOO FOR DRY&amp;DAMAGED HAIR 500ML</v>
          </cell>
          <cell r="B409">
            <v>2</v>
          </cell>
        </row>
        <row r="410">
          <cell r="A410" t="str">
            <v>KEJJAN'S GENTLE SKIN CLEANSER 250ML</v>
          </cell>
          <cell r="B410">
            <v>1</v>
          </cell>
        </row>
        <row r="411">
          <cell r="A411" t="str">
            <v>KLEIDA FOAMING FACEWASH - 100GM</v>
          </cell>
          <cell r="B411">
            <v>7</v>
          </cell>
        </row>
        <row r="412">
          <cell r="A412" t="str">
            <v>KLEIDA SKIN LIGHTENING MOISTURISER 100GM</v>
          </cell>
          <cell r="B412">
            <v>11</v>
          </cell>
        </row>
        <row r="413">
          <cell r="A413" t="str">
            <v>K-SECRET SEOUL 1988 CLEANSING OIL: PINE CICA 1% + PROBIOTICS,200ML/6.76FL.OZ</v>
          </cell>
          <cell r="B413">
            <v>3</v>
          </cell>
        </row>
        <row r="414">
          <cell r="A414" t="str">
            <v>K-SECRET SEOUL 1988 CREAM : RETINAL LIPSOME 1%+FERMENTED RICE-50ML/1.69FL.OZ</v>
          </cell>
          <cell r="B414">
            <v>4</v>
          </cell>
        </row>
        <row r="415">
          <cell r="A415" t="str">
            <v>K-SECRET SEOUL 1988 ESSENCE SNAIL MUCIN 97% + RICE - 100 ML</v>
          </cell>
          <cell r="B415">
            <v>1</v>
          </cell>
        </row>
        <row r="416">
          <cell r="A416" t="str">
            <v>K-SECRET SEOUL 1988 SERUM: RETINAL LIPSOME 2% + BLACK GINSENG-30ML/1.01FL.OZ</v>
          </cell>
          <cell r="B416">
            <v>2</v>
          </cell>
        </row>
        <row r="417">
          <cell r="A417" t="str">
            <v>LA COLORS FACE PRIMER 15ML -288 CLEAR</v>
          </cell>
          <cell r="B417">
            <v>2</v>
          </cell>
        </row>
        <row r="418">
          <cell r="A418" t="str">
            <v>L.A. COLORS FELT TIP MARK EYELINER CLE 823 BLACK</v>
          </cell>
          <cell r="B418">
            <v>2</v>
          </cell>
        </row>
        <row r="419">
          <cell r="A419" t="str">
            <v>LA COLORS GEL EYELINER CP630-MIDNIGHT BLACK</v>
          </cell>
          <cell r="B419">
            <v>1</v>
          </cell>
        </row>
        <row r="420">
          <cell r="A420" t="str">
            <v>L.A. COLORS GEL LIPLINER CAFE CP676</v>
          </cell>
          <cell r="B420">
            <v>2</v>
          </cell>
        </row>
        <row r="421">
          <cell r="A421" t="str">
            <v>L.A. COLORS GEL LIPLINER ROSE ALL DAY CP675</v>
          </cell>
          <cell r="B421">
            <v>1</v>
          </cell>
        </row>
        <row r="422">
          <cell r="A422" t="str">
            <v>LA COLORS GLOSSY LIPS SHEER 15ML -CBLG801 JAMMIN JELLY</v>
          </cell>
          <cell r="B422">
            <v>1</v>
          </cell>
        </row>
        <row r="423">
          <cell r="A423" t="str">
            <v>L.A. COLORS RAD ROUGE 4.5G CBL724 - BODACIOUS</v>
          </cell>
          <cell r="B423">
            <v>1</v>
          </cell>
        </row>
        <row r="424">
          <cell r="A424" t="str">
            <v>L.A. COLORS RAD ROUGE 4.5G CBL731 - CHILL</v>
          </cell>
          <cell r="B424">
            <v>1</v>
          </cell>
        </row>
        <row r="425">
          <cell r="A425" t="str">
            <v>LA COLORS ROLL ON LIP OIL 6.3ML -C68226 SHEER BERRY</v>
          </cell>
          <cell r="B425">
            <v>1</v>
          </cell>
        </row>
        <row r="426">
          <cell r="A426" t="str">
            <v>L.A. COLORS ROLL ON LIP OIL 6.3 ML - SHEER PINK (C68225)</v>
          </cell>
          <cell r="B426">
            <v>1</v>
          </cell>
        </row>
        <row r="427">
          <cell r="A427" t="str">
            <v>LA COLORS TRULY MATTE FOUNDATION 40ML-357 GOLDEN BEIGE</v>
          </cell>
          <cell r="B427">
            <v>2</v>
          </cell>
        </row>
        <row r="428">
          <cell r="A428" t="str">
            <v>L.A. GIRL HD PRO CONCEALER (CLASSIC IVORY)</v>
          </cell>
          <cell r="B428">
            <v>1</v>
          </cell>
        </row>
        <row r="429">
          <cell r="A429" t="str">
            <v>L.A. GIRL PRO.PREP PRIMER 0.5OZ (GFP949)</v>
          </cell>
          <cell r="B429">
            <v>1</v>
          </cell>
        </row>
        <row r="430">
          <cell r="A430" t="str">
            <v>LAYER'R WOTTAGIRL AMBER KISS BODY SPLASH FOR WOMEN, 135ML</v>
          </cell>
          <cell r="B430">
            <v>2</v>
          </cell>
        </row>
        <row r="431">
          <cell r="A431" t="str">
            <v>LAYER'R WOTTAGIRL MYSTIC ISLAND BODY SPLASH FOR WOMEN,135ML</v>
          </cell>
          <cell r="B431">
            <v>1</v>
          </cell>
        </row>
        <row r="432">
          <cell r="A432" t="str">
            <v>LAYER'R WOTTAGIRL SECRET CRUSH BODY SPLASH FOR WOMEN, 135ML</v>
          </cell>
          <cell r="B432">
            <v>1</v>
          </cell>
        </row>
        <row r="433">
          <cell r="A433" t="str">
            <v>LAYER'R WOTTAGIRL VANILLA TWIST BODY SPLASH FOR WOMEN, 135ML</v>
          </cell>
          <cell r="B433">
            <v>1</v>
          </cell>
        </row>
        <row r="434">
          <cell r="A434" t="str">
            <v>LIPIDZ- LIPID REPLENISHING CREAM 50GM</v>
          </cell>
          <cell r="B434">
            <v>2</v>
          </cell>
        </row>
        <row r="435">
          <cell r="A435" t="str">
            <v>LIPZ MOISTURIZER WITH SPF 15 - 9 GM</v>
          </cell>
          <cell r="B435">
            <v>2</v>
          </cell>
        </row>
        <row r="436">
          <cell r="A436" t="str">
            <v>LISAP FASHION VOLUMIZING SPRAY- 200 ML</v>
          </cell>
          <cell r="B436">
            <v>1</v>
          </cell>
        </row>
        <row r="437">
          <cell r="A437" t="str">
            <v>LISAP ULTIMATE SHAMPOO (FOR STRAIGHT HAIR)- 1000 ML</v>
          </cell>
          <cell r="B437">
            <v>1</v>
          </cell>
        </row>
        <row r="438">
          <cell r="A438" t="str">
            <v>LIVON DAMAGE PROTECT 100 ML</v>
          </cell>
          <cell r="B438">
            <v>3</v>
          </cell>
        </row>
        <row r="439">
          <cell r="A439" t="str">
            <v>L'OREAL PARIS EXTRAORDINARY OIL CONDITIONER (RAPID)- 180ML</v>
          </cell>
          <cell r="B439">
            <v>2</v>
          </cell>
        </row>
        <row r="440">
          <cell r="A440" t="str">
            <v>L'OREAL PARIS EXTRAORDINARY OIL NOURISHING CONDITIONER - 175 ML</v>
          </cell>
          <cell r="B440">
            <v>2</v>
          </cell>
        </row>
        <row r="441">
          <cell r="A441" t="str">
            <v>L'OREAL PARIS HYALURON 72H MOISTURE FILLING SHAMPOO - 340ML</v>
          </cell>
          <cell r="B441">
            <v>3</v>
          </cell>
        </row>
        <row r="442">
          <cell r="A442" t="str">
            <v>L'OREAL PARIS INFALIABLE FOUNDATION 32 HOURS - 30ML (140)</v>
          </cell>
          <cell r="B442">
            <v>2</v>
          </cell>
        </row>
        <row r="443">
          <cell r="A443" t="str">
            <v>L'OREAL PARIS TOTAL REPAIR 5 REPAIRING SHAMPOO- 340 ML</v>
          </cell>
          <cell r="B443">
            <v>3</v>
          </cell>
        </row>
        <row r="444">
          <cell r="A444" t="str">
            <v>LOVE BEAUTY &amp; PLANET ONION, BLACK SEED OIL &amp; PATCHOULI HAIR OIL-200ML</v>
          </cell>
          <cell r="B444">
            <v>1</v>
          </cell>
        </row>
        <row r="445">
          <cell r="A445" t="str">
            <v>MAYBELLINE FIT ME FOUNDATION DEWY SMOOTH -118 LIGHT BEIGE</v>
          </cell>
          <cell r="B445">
            <v>2</v>
          </cell>
        </row>
        <row r="446">
          <cell r="A446" t="str">
            <v>MAYBELLINE FIT ME FOUNDATION MATTE 1OZ - CLASSIC IVORY (120)</v>
          </cell>
          <cell r="B446">
            <v>1</v>
          </cell>
        </row>
        <row r="447">
          <cell r="A447" t="str">
            <v>MAYBELLINE FIT ME FOUNDATION MATTE 1OZ - NATURAL BEIGE (220)</v>
          </cell>
          <cell r="B447">
            <v>1</v>
          </cell>
        </row>
        <row r="448">
          <cell r="A448" t="str">
            <v>MAYBELLINE FIT ME FOUNDATION MATTE PORELESS -128 WARM NUDE</v>
          </cell>
          <cell r="B448">
            <v>1</v>
          </cell>
        </row>
        <row r="449">
          <cell r="A449" t="str">
            <v>MAYBELLINE FIT ME LOOSE POWDER 20G- 20 LIGHT MEDIUM</v>
          </cell>
          <cell r="B449">
            <v>1</v>
          </cell>
        </row>
        <row r="450">
          <cell r="A450" t="str">
            <v>MAYBELLINE LIFTER GLOSS 5.4ML- 008 STONE</v>
          </cell>
          <cell r="B450">
            <v>1</v>
          </cell>
        </row>
        <row r="451">
          <cell r="A451" t="str">
            <v>MAYBELLINE SUPERSTAY LIPSTICK 155 - SAVANT</v>
          </cell>
          <cell r="B451">
            <v>1</v>
          </cell>
        </row>
        <row r="452">
          <cell r="A452" t="str">
            <v>MAYBELLINE SUPERSTAY MATTE INK LIQUID LIPSTICK 70 AMAZONIAN 5ML</v>
          </cell>
          <cell r="B452">
            <v>1</v>
          </cell>
        </row>
        <row r="453">
          <cell r="A453" t="str">
            <v>MAYBELLINE SUPERSTAY VINYL INK LIPSTICK 4.2ML- PEPPY (115 )</v>
          </cell>
          <cell r="B453">
            <v>2</v>
          </cell>
        </row>
        <row r="454">
          <cell r="A454" t="str">
            <v>MEDICUBE COLLAGEN LIFTING MASK, 27GM</v>
          </cell>
          <cell r="B454">
            <v>7</v>
          </cell>
        </row>
        <row r="455">
          <cell r="A455" t="str">
            <v>MEDICUBE COLLAGEN OVERNIGHT WRAPPING PEEL OFF FACIAL MASK - 75ML</v>
          </cell>
          <cell r="B455">
            <v>4</v>
          </cell>
        </row>
        <row r="456">
          <cell r="A456" t="str">
            <v>MEDICUBE – DEEP VITA C CAPSULE CREAM [55G]</v>
          </cell>
          <cell r="B456">
            <v>4</v>
          </cell>
        </row>
        <row r="457">
          <cell r="A457" t="str">
            <v>MEDICUBE – JELLY BRUSH</v>
          </cell>
          <cell r="B457">
            <v>1</v>
          </cell>
        </row>
        <row r="458">
          <cell r="A458" t="str">
            <v>MEDICUBE PDRN PINK COLLAGEN CAPSULE CREAM, 55GM</v>
          </cell>
          <cell r="B458">
            <v>1</v>
          </cell>
        </row>
        <row r="459">
          <cell r="A459" t="str">
            <v>MEDICUBE – PDRN PINK COLLAGEN GEL MASK [28G X 1 SHEET]</v>
          </cell>
          <cell r="B459">
            <v>6</v>
          </cell>
        </row>
        <row r="460">
          <cell r="A460" t="str">
            <v>MEDICUBE – PDRN PINK PEPTIDE SERUM [30ML]</v>
          </cell>
          <cell r="B460">
            <v>1</v>
          </cell>
        </row>
        <row r="461">
          <cell r="A461" t="str">
            <v>MEDICUBE TXA NIACINAMIDE 15 SERUM, 30ml</v>
          </cell>
          <cell r="B461">
            <v>4</v>
          </cell>
        </row>
        <row r="462">
          <cell r="A462" t="str">
            <v>MELANO CC BRIGHTENING ESSENCE, 20ML</v>
          </cell>
          <cell r="B462">
            <v>1</v>
          </cell>
        </row>
        <row r="463">
          <cell r="A463" t="str">
            <v>MELANO CC RICH MOISTURIZING CREAM- 100G</v>
          </cell>
          <cell r="B463">
            <v>2</v>
          </cell>
        </row>
        <row r="464">
          <cell r="A464" t="str">
            <v>MENSTRUAL CUP- MEDIUM (PEESAFE)</v>
          </cell>
          <cell r="B464">
            <v>1</v>
          </cell>
        </row>
        <row r="465">
          <cell r="A465" t="str">
            <v>MENSTRUAL CUP- SMALL (PEESAFE)</v>
          </cell>
          <cell r="B465">
            <v>1</v>
          </cell>
        </row>
        <row r="466">
          <cell r="A466" t="str">
            <v>MILANI MAKE IT LAST ORIGINAL FINISH SETTING SPRAY - 60ML</v>
          </cell>
          <cell r="B466">
            <v>2</v>
          </cell>
        </row>
        <row r="467">
          <cell r="A467" t="str">
            <v>MILANI MAKE IT LAST ORIGINAL FINISH SETTING SPRAY - 60ML (2)</v>
          </cell>
          <cell r="B467">
            <v>1</v>
          </cell>
        </row>
        <row r="468">
          <cell r="A468" t="str">
            <v>MINIMALIST LIGHT FLUID SPF 50 FACE SUNSCREEN - 50ML</v>
          </cell>
          <cell r="B468">
            <v>6</v>
          </cell>
        </row>
        <row r="469">
          <cell r="A469" t="str">
            <v>MINIMALIST RETINOL 0.6% MID-STRENGTH ANTI AGING FACE SERUM 30ML</v>
          </cell>
          <cell r="B469">
            <v>1</v>
          </cell>
        </row>
        <row r="470">
          <cell r="A470" t="str">
            <v>MOISTCOM MOISTURISING CREAM GEL - 100ML</v>
          </cell>
          <cell r="B470">
            <v>3</v>
          </cell>
        </row>
        <row r="471">
          <cell r="A471" t="str">
            <v>NOVO REFRESHING AROMA HAND CREAM [02 DEWY]-45G</v>
          </cell>
          <cell r="B471">
            <v>1</v>
          </cell>
        </row>
        <row r="472">
          <cell r="A472" t="str">
            <v>NOVO REFRESHING AROMA HAND CREAM [03 DEEP MOISTURIZING]-45G</v>
          </cell>
          <cell r="B472">
            <v>1</v>
          </cell>
        </row>
        <row r="473">
          <cell r="A473" t="str">
            <v>PADELUX PANTY LINER 20PCS</v>
          </cell>
          <cell r="B473">
            <v>2</v>
          </cell>
        </row>
        <row r="474">
          <cell r="A474" t="str">
            <v>PAX MOLY HYALURONIC ACID MASK PACK</v>
          </cell>
          <cell r="B474">
            <v>3</v>
          </cell>
        </row>
        <row r="475">
          <cell r="A475" t="str">
            <v>PAX MOLY REAL COLLAGEN MASK PACK</v>
          </cell>
          <cell r="B475">
            <v>23</v>
          </cell>
        </row>
        <row r="476">
          <cell r="A476" t="str">
            <v>PAX MOLY REAL SNAIL FACE MASK</v>
          </cell>
          <cell r="B476">
            <v>18</v>
          </cell>
        </row>
        <row r="477">
          <cell r="A477" t="str">
            <v>PEE SAFE ALOE VERA PANTY LINERS PACK OF 20</v>
          </cell>
          <cell r="B477">
            <v>4</v>
          </cell>
        </row>
        <row r="478">
          <cell r="A478" t="str">
            <v>PEESAFE NATURAL INTIMATE WASH 105 ML (WOMEN)</v>
          </cell>
          <cell r="B478">
            <v>4</v>
          </cell>
        </row>
        <row r="479">
          <cell r="A479" t="str">
            <v>PILGRIM KOREAN RICE WATER &amp; COLLAGEN ADVANCED DAMAGE REPAIR HAIR CONDITIONER 200ML</v>
          </cell>
          <cell r="B479">
            <v>1</v>
          </cell>
        </row>
        <row r="480">
          <cell r="A480" t="str">
            <v>PILGRIM KOREAN RICE WATER &amp; COLLAGEN ADVANCED DAMAGE REPAIR SHAMPOO (400ML)</v>
          </cell>
          <cell r="B480">
            <v>2</v>
          </cell>
        </row>
        <row r="481">
          <cell r="A481" t="str">
            <v>PILGRIM KOREAN RICE WATER HYDRA GLOW MOISTURIZER - 100GM</v>
          </cell>
          <cell r="B481">
            <v>2</v>
          </cell>
        </row>
        <row r="482">
          <cell r="A482" t="str">
            <v>PILGRIM KOREAN WHITE LOTUS TINTED SUNSCREEN SPF 50+ PA++++ 50 ML</v>
          </cell>
          <cell r="B482">
            <v>4</v>
          </cell>
        </row>
        <row r="483">
          <cell r="A483" t="str">
            <v>PILGRIM TEA TREE NON-DRYING ANTI-DANDRUFF SHAMPOO- 200ML</v>
          </cell>
          <cell r="B483">
            <v>2</v>
          </cell>
        </row>
        <row r="484">
          <cell r="A484" t="str">
            <v>PINKFLASH DOUBLE NOSE SHADOW EYESHADOW BRUSH</v>
          </cell>
          <cell r="B484">
            <v>1</v>
          </cell>
        </row>
        <row r="485">
          <cell r="A485" t="str">
            <v>PINKFLASH GLOSSY LIQUID LIPGLOSS - C01</v>
          </cell>
          <cell r="B485">
            <v>1</v>
          </cell>
        </row>
        <row r="486">
          <cell r="A486" t="str">
            <v>PINKFLASH GLOSSY LIQUID LIPGLOSS - G01</v>
          </cell>
          <cell r="B486">
            <v>1</v>
          </cell>
        </row>
        <row r="487">
          <cell r="A487" t="str">
            <v>PINKFLASH GLOSSY LIQUID LIPGLOSS - G04</v>
          </cell>
          <cell r="B487">
            <v>1</v>
          </cell>
        </row>
        <row r="488">
          <cell r="A488" t="str">
            <v>PINKFLASH MAKE-UP PUFF - TL01</v>
          </cell>
          <cell r="B488">
            <v>1</v>
          </cell>
        </row>
        <row r="489">
          <cell r="A489" t="str">
            <v>PINKFLASH POWDER BLUSH - NU01</v>
          </cell>
          <cell r="B489">
            <v>1</v>
          </cell>
        </row>
        <row r="490">
          <cell r="A490" t="str">
            <v>PINKFLASH PRECISION EYEBROW PENCIL - 02</v>
          </cell>
          <cell r="B490">
            <v>1</v>
          </cell>
        </row>
        <row r="491">
          <cell r="A491" t="str">
            <v>PINKFLASH SETTING BROW WAX - BR01</v>
          </cell>
          <cell r="B491">
            <v>1</v>
          </cell>
        </row>
        <row r="492">
          <cell r="A492" t="str">
            <v>PINKFLASH SETTING BROW WAX - TP01</v>
          </cell>
          <cell r="B492">
            <v>0</v>
          </cell>
        </row>
        <row r="493">
          <cell r="A493" t="str">
            <v>PINKFLASH SMOOTH VELVET BLUSH - 02</v>
          </cell>
          <cell r="B493">
            <v>1</v>
          </cell>
        </row>
        <row r="494">
          <cell r="A494" t="str">
            <v>PINKFLASH WATERPROOF KAJAL EYELINER PENCIL - NU01</v>
          </cell>
          <cell r="B494">
            <v>1</v>
          </cell>
        </row>
        <row r="495">
          <cell r="A495" t="str">
            <v>PLUM ALOE VERA MULTI USE GEL- 150 ML</v>
          </cell>
          <cell r="B495">
            <v>1</v>
          </cell>
        </row>
        <row r="496">
          <cell r="A496" t="str">
            <v>PLUM BODYLOVIN' MARSHMALLOW MELT BODY LOTION-400 ML</v>
          </cell>
          <cell r="B496">
            <v>2</v>
          </cell>
        </row>
        <row r="497">
          <cell r="A497" t="str">
            <v>PLUM BODYLOVIN' VANILLA VIBES BODY MIST, 150ML</v>
          </cell>
          <cell r="B497">
            <v>2</v>
          </cell>
        </row>
        <row r="498">
          <cell r="A498" t="str">
            <v>PLUM BODYLOVIN' VANILLA VIBES BODY WASH- 240ML</v>
          </cell>
          <cell r="B498">
            <v>5</v>
          </cell>
        </row>
        <row r="499">
          <cell r="A499" t="str">
            <v>PLUM BODYLOVIN VANILLA VIBES DEODORANT ROLL ON- 50 ML</v>
          </cell>
          <cell r="B499">
            <v>3</v>
          </cell>
        </row>
        <row r="500">
          <cell r="A500" t="str">
            <v>PLUM BODYLOVIN' VANILLA VIBES EAU DE PARFUM - 15ML</v>
          </cell>
          <cell r="B500">
            <v>1</v>
          </cell>
        </row>
        <row r="501">
          <cell r="A501" t="str">
            <v>PLUM BODYLOVIN' VANILLA VIBES EAU DE PERFUME (PARFUM)50mll</v>
          </cell>
          <cell r="B501">
            <v>1</v>
          </cell>
        </row>
        <row r="502">
          <cell r="A502" t="str">
            <v>PLUM CANDY MELTS VEGAN LIP BALM - BERRY FEAST</v>
          </cell>
          <cell r="B502">
            <v>1</v>
          </cell>
        </row>
        <row r="503">
          <cell r="A503" t="str">
            <v>PLUM CICA &amp; HYALURONIC ACID AQUA-LIGHT SUNSCREEN (SPF 50 PA+++) 50 G</v>
          </cell>
          <cell r="B503">
            <v>1</v>
          </cell>
        </row>
        <row r="504">
          <cell r="A504" t="str">
            <v>PLUM COCONUT MILK &amp; PEPTIDES STRENGTH &amp; SHINE SHAMPOO - 250ML</v>
          </cell>
          <cell r="B504">
            <v>2</v>
          </cell>
        </row>
        <row r="505">
          <cell r="A505" t="str">
            <v>PLUM GOODNESS COCONUT MILK &amp; PEPTIDES STRENGTH &amp; SHINE CONDITIONER 175G</v>
          </cell>
          <cell r="B505">
            <v>2</v>
          </cell>
        </row>
        <row r="506">
          <cell r="A506" t="str">
            <v>PLUM GOODNESS LILY MISS SUNSHINE SUNSCREEN BODY LOTION SPF 35 PA+++ | - 200 ML</v>
          </cell>
          <cell r="B506">
            <v>3</v>
          </cell>
        </row>
        <row r="507">
          <cell r="A507" t="str">
            <v>PLUM GREEN TEA OIL FREE MOISTURIZER, 50ML</v>
          </cell>
          <cell r="B507">
            <v>7</v>
          </cell>
        </row>
        <row r="508">
          <cell r="A508" t="str">
            <v>PLUM GREEN TEA &amp; ZINC SUPER-MATTE GEL SUNSCREEN SPF 50+++ - 50GM</v>
          </cell>
          <cell r="B508">
            <v>6</v>
          </cell>
        </row>
        <row r="509">
          <cell r="A509" t="str">
            <v>PLUM MANDARIN &amp; VITAMIN C 1.5% TONER 100ML</v>
          </cell>
          <cell r="B509">
            <v>4</v>
          </cell>
        </row>
        <row r="510">
          <cell r="A510" t="str">
            <v>PLUM RICE WATER &amp; 3 % NIACINAMIDE SHEER-TINTED SUNSCREEN-50GM</v>
          </cell>
          <cell r="B510">
            <v>4</v>
          </cell>
        </row>
        <row r="511">
          <cell r="A511" t="str">
            <v>PLUM RICE WATER &amp; NIACINAMIDE CLEAR MOISTURE GEL CREAM -50 GM</v>
          </cell>
          <cell r="B511">
            <v>3</v>
          </cell>
        </row>
        <row r="512">
          <cell r="A512" t="str">
            <v>PLUM SQUALANE &amp; VITAMIN E DEWY-BRIGHT SUNSCREEN SPF 50 PA+++</v>
          </cell>
          <cell r="B512">
            <v>5</v>
          </cell>
        </row>
        <row r="513">
          <cell r="A513" t="str">
            <v>PLUM VANILLA CARAMELLO BODY LOTION-400ML</v>
          </cell>
          <cell r="B513">
            <v>5</v>
          </cell>
        </row>
        <row r="514">
          <cell r="A514" t="str">
            <v>PURITO SEOUL MIGHTY BAMBOO PANTHENOL CLEANSER 150ML</v>
          </cell>
          <cell r="B514">
            <v>1</v>
          </cell>
        </row>
        <row r="515">
          <cell r="A515" t="str">
            <v>RAYSTOP 50SPF LOTION 100GM</v>
          </cell>
          <cell r="B515">
            <v>2</v>
          </cell>
        </row>
        <row r="516">
          <cell r="A516" t="str">
            <v>RETIDERM 0.025% GEL 20GM</v>
          </cell>
          <cell r="B516">
            <v>3</v>
          </cell>
        </row>
        <row r="517">
          <cell r="A517" t="str">
            <v>RETIDERM 0.05% GEL 20GM</v>
          </cell>
          <cell r="B517">
            <v>2</v>
          </cell>
        </row>
        <row r="518">
          <cell r="A518" t="str">
            <v>ROUND LAB DOKDO CLEANSER 150ML</v>
          </cell>
          <cell r="B518">
            <v>3</v>
          </cell>
        </row>
        <row r="519">
          <cell r="A519" t="str">
            <v>SCHWARZKOPF BC REPAIR RESCUE SHAMPOO – 250ML</v>
          </cell>
          <cell r="B519">
            <v>2</v>
          </cell>
        </row>
        <row r="520">
          <cell r="A520" t="str">
            <v>SCHWARZKOPF COLOR FREEZE TREATMENT- 200 ML</v>
          </cell>
          <cell r="B520">
            <v>1</v>
          </cell>
        </row>
        <row r="521">
          <cell r="A521" t="str">
            <v>SCHWARZKOPF OSIS+ FLATLINER - 200 ML</v>
          </cell>
          <cell r="B521">
            <v>1</v>
          </cell>
        </row>
        <row r="522">
          <cell r="A522" t="str">
            <v>SCHWARZKOPF PROFESSIONAL BC BONACURE FRIZZ AWAY CONDITIONER 200 ML</v>
          </cell>
          <cell r="B522">
            <v>1</v>
          </cell>
        </row>
        <row r="523">
          <cell r="A523" t="str">
            <v>SCHWARZKOPF PROFESSIONAL BC CP COLOR FREEZE PH 4.5 SHAMPOO 250 ML</v>
          </cell>
          <cell r="B523">
            <v>1</v>
          </cell>
        </row>
        <row r="524">
          <cell r="A524" t="str">
            <v>SCINIC ENJOY SUPER ACTIVE AIRY SUN STICK, 15GM</v>
          </cell>
          <cell r="B524">
            <v>1</v>
          </cell>
        </row>
        <row r="525">
          <cell r="A525" t="str">
            <v>SELSUN ANTI DANDRUFF SHAMPOO 100ML</v>
          </cell>
          <cell r="B525">
            <v>1</v>
          </cell>
        </row>
        <row r="526">
          <cell r="A526" t="str">
            <v>SELSUN ANTI-DANDRUFF SHAMPOO- 250ML</v>
          </cell>
          <cell r="B526">
            <v>2</v>
          </cell>
        </row>
        <row r="527">
          <cell r="A527" t="str">
            <v>SELSUN ANTI DANDRUFF SHAMPOO 50ML</v>
          </cell>
          <cell r="B527">
            <v>5</v>
          </cell>
        </row>
        <row r="528">
          <cell r="A528" t="str">
            <v>SHISEIDO FINO PREMIUM TOUCH PENETRATION ESSENCE HAIR OIL - 70ML</v>
          </cell>
          <cell r="B528">
            <v>1</v>
          </cell>
        </row>
        <row r="529">
          <cell r="A529" t="str">
            <v>SINOZ VITAMIN C SERUM 10% 30 ML</v>
          </cell>
          <cell r="B529">
            <v>2</v>
          </cell>
        </row>
        <row r="530">
          <cell r="A530" t="str">
            <v>SKIN1004 MADAGASCAR CENTELLA AIR-FIT SUNCREAM LIGHT - 50ML</v>
          </cell>
          <cell r="B530">
            <v>1</v>
          </cell>
        </row>
        <row r="531">
          <cell r="A531" t="str">
            <v>SKIN1004 MADAGASCAR CENTELLA AIR-FIT SUNCREAM PLUS - 50ML</v>
          </cell>
          <cell r="B531">
            <v>1</v>
          </cell>
        </row>
        <row r="532">
          <cell r="A532" t="str">
            <v>SKIN1004 MADAGASCAR CENTELLA ASIATICA AMPOULE - 55ML</v>
          </cell>
          <cell r="B532">
            <v>1</v>
          </cell>
        </row>
        <row r="533">
          <cell r="A533" t="str">
            <v>SKIN1004 MADAGASCAR CENTELLA CREAM 75ML</v>
          </cell>
          <cell r="B533">
            <v>2</v>
          </cell>
        </row>
        <row r="534">
          <cell r="A534" t="str">
            <v>SKIN1004 MADAGASCAR CENTELLA HYALU-CICA SILKY FIT SUN STICK - 20GM</v>
          </cell>
          <cell r="B534">
            <v>4</v>
          </cell>
        </row>
        <row r="535">
          <cell r="A535" t="str">
            <v>SKIN1004 MADAGASCAR CENTELLA HYALU-CICA WATER FIT SUN SERUM - 50ML</v>
          </cell>
          <cell r="B535">
            <v>2</v>
          </cell>
        </row>
        <row r="536">
          <cell r="A536" t="str">
            <v>SKIN1004 MADAGASCAR CENTELLA LIGHT CLEANSING OIL- 200ML</v>
          </cell>
          <cell r="B536">
            <v>5</v>
          </cell>
        </row>
        <row r="537">
          <cell r="A537" t="str">
            <v>SKIN1004 MADAGASCAR CENTELLA POREMIZING CLARIFYING MASK 23ML</v>
          </cell>
          <cell r="B537">
            <v>10</v>
          </cell>
        </row>
        <row r="538">
          <cell r="A538" t="str">
            <v>SKIN1004 MADAGASCAR CENTELLA POREMIZING DEEP CLEANSING FOAM 125ML</v>
          </cell>
          <cell r="B538">
            <v>1</v>
          </cell>
        </row>
        <row r="539">
          <cell r="A539" t="str">
            <v>SKIN1004 MADAGASCAR CENTELLA PROBIO-CICA BAKUCHIOL EYE CREAM-20ML</v>
          </cell>
          <cell r="B539">
            <v>2</v>
          </cell>
        </row>
        <row r="540">
          <cell r="A540" t="str">
            <v>SKIN1004 MADAGASCAR CENTELLA PROBIO-CICA GLOW SUN AMPOULE SPF50+ PA++++, 50ML</v>
          </cell>
          <cell r="B540">
            <v>2</v>
          </cell>
        </row>
        <row r="541">
          <cell r="A541" t="str">
            <v>SKIN1004 MADAGASCAR CENTELLA SOOTHING CREAM 75ML</v>
          </cell>
          <cell r="B541">
            <v>2</v>
          </cell>
        </row>
        <row r="542">
          <cell r="A542" t="str">
            <v>SKIN1004 MADAGASCAR CENTELLA TONE BRIGHTENING CAPSULE AMPOULE-100ML</v>
          </cell>
          <cell r="B542">
            <v>19</v>
          </cell>
        </row>
        <row r="543">
          <cell r="A543" t="str">
            <v>SKIN1004 MADAGASCAR CENTELLA TONE BRIGHTENING TONE UP SUNSCREEN 50ML</v>
          </cell>
          <cell r="B543">
            <v>3</v>
          </cell>
        </row>
        <row r="544">
          <cell r="A544" t="str">
            <v>SKIN1004 MADAGASCAR CENTELLA TONING TONER 210ML</v>
          </cell>
          <cell r="B544">
            <v>4</v>
          </cell>
        </row>
        <row r="545">
          <cell r="A545" t="str">
            <v>SOME BY MI 30 DAYS MIRACLE CLEAR SPOT PATCH</v>
          </cell>
          <cell r="B545">
            <v>2</v>
          </cell>
        </row>
        <row r="546">
          <cell r="A546" t="str">
            <v>SUNPLAY BABY MILD SUNSCREEN SPF 35 PA ++, 30ML</v>
          </cell>
          <cell r="B546">
            <v>2</v>
          </cell>
        </row>
        <row r="547">
          <cell r="A547" t="str">
            <v>SUNPLAY SKIN AQUA CLEAR WHITE, 25GM</v>
          </cell>
          <cell r="B547">
            <v>1</v>
          </cell>
        </row>
        <row r="548">
          <cell r="A548" t="str">
            <v>SUNPLAY SKIN AQUA CLEAR WHITE GEL, 55GM</v>
          </cell>
          <cell r="B548">
            <v>6</v>
          </cell>
        </row>
        <row r="549">
          <cell r="A549" t="str">
            <v>SUNPLAY SKIN AQUA MOISTURIZING SERUM 75ML</v>
          </cell>
          <cell r="B549">
            <v>1</v>
          </cell>
        </row>
        <row r="550">
          <cell r="A550" t="str">
            <v>SUNPLAY SKIN AQUA SILKY WHITE GEL, 30GM</v>
          </cell>
          <cell r="B550">
            <v>1</v>
          </cell>
        </row>
        <row r="551">
          <cell r="A551" t="str">
            <v>SUNPLAY SKIN AQUA SILKY WHITE GEL, 70GM</v>
          </cell>
          <cell r="B551">
            <v>3</v>
          </cell>
        </row>
        <row r="552">
          <cell r="A552" t="str">
            <v>SUNPLAY SKIN AQUA TONE UP UV ESSENCE, 50GM (LAVENDER)</v>
          </cell>
          <cell r="B552">
            <v>6</v>
          </cell>
        </row>
        <row r="553">
          <cell r="A553" t="str">
            <v>SUNPLAY SKIN AQUA UV SUNSCREEN WHITENING LOTION, 150GM</v>
          </cell>
          <cell r="B553">
            <v>2</v>
          </cell>
        </row>
        <row r="554">
          <cell r="A554" t="str">
            <v>SWEATNIL ANTI-PERSPIRANT GEL - 50ML</v>
          </cell>
          <cell r="B554">
            <v>2</v>
          </cell>
        </row>
        <row r="555">
          <cell r="A555" t="str">
            <v>SWEATNIL ANTI-PERSPIRANT ROLL ON 50ML (WITH DEPIGMENTATION)</v>
          </cell>
          <cell r="B555">
            <v>1</v>
          </cell>
        </row>
        <row r="556">
          <cell r="A556" t="str">
            <v>TASHYA &amp; CO HAIR MASK 500 ML</v>
          </cell>
          <cell r="B556">
            <v>1</v>
          </cell>
        </row>
        <row r="557">
          <cell r="A557" t="str">
            <v>TECHNIC CHEEK GEL BLUSHER (angel)</v>
          </cell>
          <cell r="B557">
            <v>1</v>
          </cell>
        </row>
        <row r="558">
          <cell r="A558" t="str">
            <v>THE FACE SHOP REAL NATURE FACE SHEET MASK 20G- ALOE</v>
          </cell>
          <cell r="B558">
            <v>3</v>
          </cell>
        </row>
        <row r="559">
          <cell r="A559" t="str">
            <v>THE FACE SHOP REAL NATURE FACE SHEET MASK 20G- AVOCADO</v>
          </cell>
          <cell r="B559">
            <v>2</v>
          </cell>
        </row>
        <row r="560">
          <cell r="A560" t="str">
            <v>THE FACE SHOP REAL NATURE FACE SHEET MASK 20G- CUCUMBER</v>
          </cell>
          <cell r="B560">
            <v>2</v>
          </cell>
        </row>
        <row r="561">
          <cell r="A561" t="str">
            <v>THE FACE SHOP REAL NATURE FACE SHEET MASK 20G- HONEY</v>
          </cell>
          <cell r="B561">
            <v>2</v>
          </cell>
        </row>
        <row r="562">
          <cell r="A562" t="str">
            <v>THE FACE SHOP REAL NATURE FACE SHEET MASK 20G- LEMON</v>
          </cell>
          <cell r="B562">
            <v>3</v>
          </cell>
        </row>
        <row r="563">
          <cell r="A563" t="str">
            <v>THE FACE SHOP REAL NATURE FACE SHEET MASK 20G- MUNG BEAN</v>
          </cell>
          <cell r="B563">
            <v>2</v>
          </cell>
        </row>
        <row r="564">
          <cell r="A564" t="str">
            <v>THE FACE SHOP REAL NATURE FACE SHEET MASK 20G- SHEA BUTTER</v>
          </cell>
          <cell r="B564">
            <v>1</v>
          </cell>
        </row>
        <row r="565">
          <cell r="A565" t="str">
            <v>THE FACE SHOP REAL NATURE FACE SHEET MASK 20G- TEA TREE</v>
          </cell>
          <cell r="B565">
            <v>4</v>
          </cell>
        </row>
        <row r="566">
          <cell r="A566" t="str">
            <v>THE FACE SHOP THE SOLUTION HYDRATING MASK</v>
          </cell>
          <cell r="B566">
            <v>1</v>
          </cell>
        </row>
        <row r="567">
          <cell r="A567" t="str">
            <v>THE FACE SHOP THE SOLUTION MOISTURIZING MASK</v>
          </cell>
          <cell r="B567">
            <v>1</v>
          </cell>
        </row>
        <row r="568">
          <cell r="A568" t="str">
            <v>THE ORDINARY NIACINAMIDE 10% +ZINC 1% (30 ML)</v>
          </cell>
          <cell r="B568">
            <v>3</v>
          </cell>
        </row>
        <row r="569">
          <cell r="A569" t="str">
            <v>THE PUREST SOLUTIONS GLYCOLIC ACID PURIFYING TONER AHA + BHA - EXFOLIATING AND CLARIFYING TONER-50ML</v>
          </cell>
          <cell r="B569">
            <v>1</v>
          </cell>
        </row>
        <row r="570">
          <cell r="A570" t="str">
            <v>THE PUREST SOLUTIONS VITAMIN B COMPLEX SERUM 10%-30ML</v>
          </cell>
          <cell r="B570">
            <v>1</v>
          </cell>
        </row>
        <row r="571">
          <cell r="A571" t="str">
            <v>TIRTIR-MASK FIT ALL COVER PINK CUSHION MINI – 21W NATURAL IVORY</v>
          </cell>
          <cell r="B571">
            <v>1</v>
          </cell>
        </row>
        <row r="572">
          <cell r="A572" t="str">
            <v>TIRTIR – MASK FIT RED CUSHION MINI-21N [IVORY]</v>
          </cell>
          <cell r="B572">
            <v>2</v>
          </cell>
        </row>
        <row r="573">
          <cell r="A573" t="str">
            <v>TIRTIR-MASK FIT RED CUSHION MINI – 27N CAMEL</v>
          </cell>
          <cell r="B573">
            <v>1</v>
          </cell>
        </row>
        <row r="574">
          <cell r="A574" t="str">
            <v>TWACHA CAFFEINE LIP BALM 12GM</v>
          </cell>
          <cell r="B574">
            <v>6</v>
          </cell>
        </row>
        <row r="575">
          <cell r="A575" t="str">
            <v>UBIYA DERMA 1% KOJIC ACID COMPLEX SUNCREEN AQUA-GEL 50GM</v>
          </cell>
          <cell r="B575">
            <v>1</v>
          </cell>
        </row>
        <row r="576">
          <cell r="A576" t="str">
            <v>UV DOUX BLUE LIGHT SUNSCREEN GEL SPF 50 PA+++ 50GM</v>
          </cell>
          <cell r="B576">
            <v>3</v>
          </cell>
        </row>
        <row r="577">
          <cell r="A577" t="str">
            <v>UV DOUX SUNSCREEN GEL, SPF 50+, 100GM WITH FREE FACE CLEANSER 125ML</v>
          </cell>
          <cell r="B577">
            <v>3</v>
          </cell>
        </row>
        <row r="578">
          <cell r="A578" t="str">
            <v>UV DOUX SUNSCREEN GEL, SPF 50+, 50GM</v>
          </cell>
          <cell r="B578">
            <v>2</v>
          </cell>
        </row>
        <row r="579">
          <cell r="A579" t="str">
            <v>UVICOZ AQUA GEL 60GM</v>
          </cell>
          <cell r="B579">
            <v>1</v>
          </cell>
        </row>
        <row r="580">
          <cell r="A580" t="str">
            <v>UVICOZ IR SUNSCREEN GEL 50GM</v>
          </cell>
          <cell r="B580">
            <v>1</v>
          </cell>
        </row>
        <row r="581">
          <cell r="A581" t="str">
            <v>VASELINE BRIGHT GLUTA-HYA SERUM PRO-AGE RESTORE 200ML</v>
          </cell>
          <cell r="B581">
            <v>1</v>
          </cell>
        </row>
        <row r="582">
          <cell r="A582" t="str">
            <v>VASELINE GLUTA-HYA SERUM BURST LOTION, SPOTLESS GLOW- 300ML</v>
          </cell>
          <cell r="B582">
            <v>1</v>
          </cell>
        </row>
        <row r="583">
          <cell r="A583" t="str">
            <v>VASELINE HEALTHY BRIGHT GLUTA-HYA SERUM BURST DEWY RADIANCE 200ML</v>
          </cell>
          <cell r="B583">
            <v>2</v>
          </cell>
        </row>
        <row r="584">
          <cell r="A584" t="str">
            <v>VASELINE LIP THERAPY ROSY LIPS -20 G</v>
          </cell>
          <cell r="B584">
            <v>1</v>
          </cell>
        </row>
        <row r="585">
          <cell r="A585" t="str">
            <v>VASELINE PETROLEUM JELLY ORIGINAL- 50 ML</v>
          </cell>
          <cell r="B585">
            <v>2</v>
          </cell>
        </row>
        <row r="586">
          <cell r="A586" t="str">
            <v>VICTORIA'S SECRET BODY LOTION 236ML - TEMPTATION</v>
          </cell>
          <cell r="B586">
            <v>1</v>
          </cell>
        </row>
        <row r="587">
          <cell r="A587" t="str">
            <v>VICTORIA'S SECRET BODY MIST 250ML - BARE VANILLA</v>
          </cell>
          <cell r="B587">
            <v>4</v>
          </cell>
        </row>
        <row r="588">
          <cell r="A588" t="str">
            <v>VICTORIA'S SECRET BODY MIST 250ML - MIDNIGHT BLOOM</v>
          </cell>
          <cell r="B588">
            <v>3</v>
          </cell>
        </row>
        <row r="589">
          <cell r="A589" t="str">
            <v>VICTORIA'S SECRET BODY MIST 250ML - RUSH</v>
          </cell>
          <cell r="B589">
            <v>2</v>
          </cell>
        </row>
        <row r="590">
          <cell r="A590" t="str">
            <v>VICTORIA'S SECRET FINE FRAGRANCE MIST 250 ML - BOMBSHELL</v>
          </cell>
          <cell r="B590">
            <v>2</v>
          </cell>
        </row>
        <row r="591">
          <cell r="A591" t="str">
            <v>WET N WILD BLUSH BRUSH - E796</v>
          </cell>
          <cell r="B591">
            <v>3</v>
          </cell>
        </row>
        <row r="592">
          <cell r="A592" t="str">
            <v>WET N WILD CREASE BRUSH - E787</v>
          </cell>
          <cell r="B592">
            <v>1</v>
          </cell>
        </row>
        <row r="593">
          <cell r="A593" t="str">
            <v>WET N WILD FOUNDATION BRUSH - (795A)</v>
          </cell>
          <cell r="B593">
            <v>2</v>
          </cell>
        </row>
        <row r="594">
          <cell r="A594" t="str">
            <v>WET N WILD LOCK N SHINE LIPGLOSS - IRRESISTABLE</v>
          </cell>
          <cell r="B594">
            <v>1</v>
          </cell>
        </row>
        <row r="595">
          <cell r="A595" t="str">
            <v>WET N WILD MATTE FOUNDATION 30ML E368C - GOLDEN BEIGE</v>
          </cell>
          <cell r="B595">
            <v>1</v>
          </cell>
        </row>
        <row r="596">
          <cell r="A596" t="str">
            <v>WET N WILD POWDER BRUSH - E797</v>
          </cell>
          <cell r="B596">
            <v>3</v>
          </cell>
        </row>
        <row r="597">
          <cell r="A597" t="str">
            <v>ZUWA COSMETICS KOJIC ACID LIGHTENING SOAP 135GM</v>
          </cell>
          <cell r="B597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42"/>
  <sheetViews>
    <sheetView tabSelected="1" topLeftCell="E910" workbookViewId="0">
      <selection activeCell="O930" sqref="O930:O931"/>
    </sheetView>
  </sheetViews>
  <sheetFormatPr defaultRowHeight="14.4" x14ac:dyDescent="0.3"/>
  <cols>
    <col min="1" max="1" width="90.109375" customWidth="1"/>
    <col min="2" max="2" width="14.109375" bestFit="1" customWidth="1"/>
    <col min="3" max="3" width="13.88671875" bestFit="1" customWidth="1"/>
    <col min="4" max="4" width="11.6640625" bestFit="1" customWidth="1"/>
    <col min="5" max="5" width="12.5546875" bestFit="1" customWidth="1"/>
    <col min="6" max="6" width="14.44140625" bestFit="1" customWidth="1"/>
    <col min="7" max="7" width="12.44140625" bestFit="1" customWidth="1"/>
    <col min="8" max="8" width="14.6640625" bestFit="1" customWidth="1"/>
    <col min="9" max="9" width="14.6640625" customWidth="1"/>
    <col min="10" max="10" width="13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947</v>
      </c>
      <c r="J1" s="1" t="s">
        <v>946</v>
      </c>
      <c r="K1" s="1" t="s">
        <v>948</v>
      </c>
    </row>
    <row r="2" spans="1:11" x14ac:dyDescent="0.3">
      <c r="A2" s="1" t="s">
        <v>8</v>
      </c>
      <c r="B2" s="1"/>
      <c r="C2" s="1"/>
      <c r="D2" s="1"/>
      <c r="E2" s="1">
        <v>1</v>
      </c>
      <c r="F2" s="1">
        <v>6</v>
      </c>
      <c r="G2" s="1">
        <v>1</v>
      </c>
      <c r="H2" s="1">
        <v>0</v>
      </c>
      <c r="I2" s="1">
        <f>G2+H2</f>
        <v>1</v>
      </c>
      <c r="J2" s="1">
        <f>_xlfn.XLOOKUP(A2,'[1]Point of Sale Analysis'!$A:$A,'[1]Point of Sale Analysis'!$B:$B,"not found",0)</f>
        <v>3</v>
      </c>
      <c r="K2" s="1">
        <f>ABS(J2-I2)</f>
        <v>2</v>
      </c>
    </row>
    <row r="3" spans="1:11" x14ac:dyDescent="0.3">
      <c r="A3" s="1" t="s">
        <v>9</v>
      </c>
      <c r="B3" s="1"/>
      <c r="C3" s="1"/>
      <c r="D3" s="1"/>
      <c r="E3" s="1">
        <v>1</v>
      </c>
      <c r="F3" s="1">
        <v>6</v>
      </c>
      <c r="G3" s="1">
        <v>1</v>
      </c>
      <c r="H3" s="1">
        <v>0</v>
      </c>
      <c r="I3" s="1">
        <f t="shared" ref="I3:I66" si="0">G3+H3</f>
        <v>1</v>
      </c>
      <c r="J3" s="1">
        <f>_xlfn.XLOOKUP(A3,'[1]Point of Sale Analysis'!$A:$A,'[1]Point of Sale Analysis'!$B:$B,"not found",0)</f>
        <v>3</v>
      </c>
      <c r="K3" s="1">
        <f>ABS(J3-I3)</f>
        <v>2</v>
      </c>
    </row>
    <row r="4" spans="1:11" hidden="1" x14ac:dyDescent="0.3">
      <c r="A4" t="s">
        <v>10</v>
      </c>
      <c r="E4">
        <v>1</v>
      </c>
      <c r="F4">
        <v>15</v>
      </c>
      <c r="G4">
        <v>0</v>
      </c>
      <c r="H4">
        <v>1</v>
      </c>
      <c r="I4">
        <f t="shared" si="0"/>
        <v>1</v>
      </c>
      <c r="J4" t="str">
        <f>_xlfn.XLOOKUP(A4,'[1]Point of Sale Analysis'!$A:$A,'[1]Point of Sale Analysis'!$B:$B,"not found",0)</f>
        <v>not found</v>
      </c>
    </row>
    <row r="5" spans="1:11" x14ac:dyDescent="0.3">
      <c r="A5" s="1" t="s">
        <v>11</v>
      </c>
      <c r="B5" s="1"/>
      <c r="C5" s="1"/>
      <c r="D5" s="1"/>
      <c r="E5" s="1">
        <v>2</v>
      </c>
      <c r="F5" s="1">
        <v>1</v>
      </c>
      <c r="G5" s="1">
        <v>1</v>
      </c>
      <c r="H5" s="1">
        <v>1</v>
      </c>
      <c r="I5" s="1">
        <f t="shared" si="0"/>
        <v>2</v>
      </c>
      <c r="J5" s="1">
        <f>_xlfn.XLOOKUP(A5,'[1]Point of Sale Analysis'!$A:$A,'[1]Point of Sale Analysis'!$B:$B,"not found",0)</f>
        <v>1</v>
      </c>
      <c r="K5" s="1">
        <f>ABS(J5-I5)</f>
        <v>1</v>
      </c>
    </row>
    <row r="6" spans="1:11" hidden="1" x14ac:dyDescent="0.3">
      <c r="A6" t="s">
        <v>12</v>
      </c>
      <c r="E6">
        <v>3</v>
      </c>
      <c r="F6">
        <v>0</v>
      </c>
      <c r="G6">
        <v>1</v>
      </c>
      <c r="H6">
        <v>2</v>
      </c>
      <c r="I6">
        <f t="shared" si="0"/>
        <v>3</v>
      </c>
      <c r="J6" t="str">
        <f>_xlfn.XLOOKUP(A6,'[1]Point of Sale Analysis'!$A:$A,'[1]Point of Sale Analysis'!$B:$B,"not found",0)</f>
        <v>not found</v>
      </c>
    </row>
    <row r="7" spans="1:11" hidden="1" x14ac:dyDescent="0.3">
      <c r="A7" t="s">
        <v>13</v>
      </c>
      <c r="C7">
        <v>1</v>
      </c>
      <c r="F7">
        <v>5</v>
      </c>
      <c r="G7">
        <v>1</v>
      </c>
      <c r="H7">
        <v>0</v>
      </c>
      <c r="I7">
        <f t="shared" si="0"/>
        <v>1</v>
      </c>
      <c r="J7" t="str">
        <f>_xlfn.XLOOKUP(A7,'[1]Point of Sale Analysis'!$A:$A,'[1]Point of Sale Analysis'!$B:$B,"not found",0)</f>
        <v>not found</v>
      </c>
    </row>
    <row r="8" spans="1:11" hidden="1" x14ac:dyDescent="0.3">
      <c r="A8" t="s">
        <v>14</v>
      </c>
      <c r="E8">
        <v>3</v>
      </c>
      <c r="F8">
        <v>0</v>
      </c>
      <c r="G8">
        <v>3</v>
      </c>
      <c r="H8">
        <v>0</v>
      </c>
      <c r="I8">
        <f t="shared" si="0"/>
        <v>3</v>
      </c>
      <c r="J8" t="str">
        <f>_xlfn.XLOOKUP(A8,'[1]Point of Sale Analysis'!$A:$A,'[1]Point of Sale Analysis'!$B:$B,"not found",0)</f>
        <v>not found</v>
      </c>
    </row>
    <row r="9" spans="1:11" hidden="1" x14ac:dyDescent="0.3">
      <c r="A9" t="s">
        <v>15</v>
      </c>
      <c r="B9">
        <v>1</v>
      </c>
      <c r="C9">
        <v>2</v>
      </c>
      <c r="D9">
        <v>1</v>
      </c>
      <c r="E9">
        <v>2</v>
      </c>
      <c r="F9">
        <v>4</v>
      </c>
      <c r="G9">
        <v>4</v>
      </c>
      <c r="H9">
        <v>0</v>
      </c>
      <c r="I9">
        <f t="shared" si="0"/>
        <v>4</v>
      </c>
      <c r="J9" t="str">
        <f>_xlfn.XLOOKUP(A9,'[1]Point of Sale Analysis'!$A:$A,'[1]Point of Sale Analysis'!$B:$B,"not found",0)</f>
        <v>not found</v>
      </c>
    </row>
    <row r="10" spans="1:11" hidden="1" x14ac:dyDescent="0.3">
      <c r="A10" t="s">
        <v>16</v>
      </c>
      <c r="B10">
        <v>1</v>
      </c>
      <c r="F10">
        <v>0</v>
      </c>
      <c r="G10">
        <v>2</v>
      </c>
      <c r="H10">
        <v>0</v>
      </c>
      <c r="I10">
        <f t="shared" si="0"/>
        <v>2</v>
      </c>
      <c r="J10" t="str">
        <f>_xlfn.XLOOKUP(A10,'[1]Point of Sale Analysis'!$A:$A,'[1]Point of Sale Analysis'!$B:$B,"not found",0)</f>
        <v>not found</v>
      </c>
    </row>
    <row r="11" spans="1:11" x14ac:dyDescent="0.3">
      <c r="A11" s="1" t="s">
        <v>17</v>
      </c>
      <c r="B11" s="1"/>
      <c r="C11" s="1"/>
      <c r="D11" s="1"/>
      <c r="E11" s="1">
        <v>2</v>
      </c>
      <c r="F11" s="1">
        <v>0</v>
      </c>
      <c r="G11" s="1">
        <v>0</v>
      </c>
      <c r="H11" s="1">
        <v>2</v>
      </c>
      <c r="I11" s="1">
        <f t="shared" si="0"/>
        <v>2</v>
      </c>
      <c r="J11" s="1">
        <f>_xlfn.XLOOKUP(A11,'[1]Point of Sale Analysis'!$A:$A,'[1]Point of Sale Analysis'!$B:$B,"not found",0)</f>
        <v>2</v>
      </c>
      <c r="K11" s="1">
        <f t="shared" ref="K11:K12" si="1">ABS(J11-I11)</f>
        <v>0</v>
      </c>
    </row>
    <row r="12" spans="1:11" x14ac:dyDescent="0.3">
      <c r="A12" s="1" t="s">
        <v>18</v>
      </c>
      <c r="B12" s="1">
        <v>2</v>
      </c>
      <c r="C12" s="1">
        <v>2</v>
      </c>
      <c r="D12" s="1">
        <v>1</v>
      </c>
      <c r="E12" s="1"/>
      <c r="F12" s="1">
        <v>2</v>
      </c>
      <c r="G12" s="1">
        <v>3</v>
      </c>
      <c r="H12" s="1">
        <v>0</v>
      </c>
      <c r="I12" s="1">
        <f t="shared" si="0"/>
        <v>3</v>
      </c>
      <c r="J12" s="1">
        <f>_xlfn.XLOOKUP(A12,'[1]Point of Sale Analysis'!$A:$A,'[1]Point of Sale Analysis'!$B:$B,"not found",0)</f>
        <v>2</v>
      </c>
      <c r="K12" s="1">
        <f t="shared" si="1"/>
        <v>1</v>
      </c>
    </row>
    <row r="13" spans="1:11" hidden="1" x14ac:dyDescent="0.3">
      <c r="A13" t="s">
        <v>19</v>
      </c>
      <c r="B13">
        <v>1</v>
      </c>
      <c r="F13">
        <v>0</v>
      </c>
      <c r="G13">
        <v>4</v>
      </c>
      <c r="H13">
        <v>0</v>
      </c>
      <c r="I13">
        <f t="shared" si="0"/>
        <v>4</v>
      </c>
      <c r="J13" t="str">
        <f>_xlfn.XLOOKUP(A13,'[1]Point of Sale Analysis'!$A:$A,'[1]Point of Sale Analysis'!$B:$B,"not found",0)</f>
        <v>not found</v>
      </c>
    </row>
    <row r="14" spans="1:11" hidden="1" x14ac:dyDescent="0.3">
      <c r="A14" t="s">
        <v>20</v>
      </c>
      <c r="B14">
        <v>2</v>
      </c>
      <c r="C14">
        <v>1</v>
      </c>
      <c r="F14">
        <v>1</v>
      </c>
      <c r="G14">
        <v>0</v>
      </c>
      <c r="H14">
        <v>1</v>
      </c>
      <c r="I14">
        <f t="shared" si="0"/>
        <v>1</v>
      </c>
      <c r="J14" t="str">
        <f>_xlfn.XLOOKUP(A14,'[1]Point of Sale Analysis'!$A:$A,'[1]Point of Sale Analysis'!$B:$B,"not found",0)</f>
        <v>not found</v>
      </c>
    </row>
    <row r="15" spans="1:11" x14ac:dyDescent="0.3">
      <c r="A15" s="1" t="s">
        <v>21</v>
      </c>
      <c r="B15" s="1">
        <v>1</v>
      </c>
      <c r="C15" s="1">
        <v>1</v>
      </c>
      <c r="D15" s="1"/>
      <c r="E15" s="1"/>
      <c r="F15" s="1">
        <v>0</v>
      </c>
      <c r="G15" s="1">
        <v>2</v>
      </c>
      <c r="H15" s="1">
        <v>0</v>
      </c>
      <c r="I15" s="1">
        <f t="shared" si="0"/>
        <v>2</v>
      </c>
      <c r="J15" s="1">
        <f>_xlfn.XLOOKUP(A15,'[1]Point of Sale Analysis'!$A:$A,'[1]Point of Sale Analysis'!$B:$B,"not found",0)</f>
        <v>2</v>
      </c>
      <c r="K15" s="1">
        <f>ABS(J15-I15)</f>
        <v>0</v>
      </c>
    </row>
    <row r="16" spans="1:11" hidden="1" x14ac:dyDescent="0.3">
      <c r="A16" t="s">
        <v>22</v>
      </c>
      <c r="C16">
        <v>1</v>
      </c>
      <c r="D16">
        <v>2</v>
      </c>
      <c r="E16">
        <v>1</v>
      </c>
      <c r="F16">
        <v>0</v>
      </c>
      <c r="G16">
        <v>1</v>
      </c>
      <c r="H16">
        <v>0</v>
      </c>
      <c r="I16">
        <f t="shared" si="0"/>
        <v>1</v>
      </c>
      <c r="J16" t="str">
        <f>_xlfn.XLOOKUP(A16,'[1]Point of Sale Analysis'!$A:$A,'[1]Point of Sale Analysis'!$B:$B,"not found",0)</f>
        <v>not found</v>
      </c>
    </row>
    <row r="17" spans="1:11" hidden="1" x14ac:dyDescent="0.3">
      <c r="A17" t="s">
        <v>23</v>
      </c>
      <c r="B17">
        <v>2</v>
      </c>
      <c r="C17">
        <v>1</v>
      </c>
      <c r="F17">
        <v>1</v>
      </c>
      <c r="G17">
        <v>1</v>
      </c>
      <c r="H17">
        <v>0</v>
      </c>
      <c r="I17">
        <f t="shared" si="0"/>
        <v>1</v>
      </c>
      <c r="J17" t="str">
        <f>_xlfn.XLOOKUP(A17,'[1]Point of Sale Analysis'!$A:$A,'[1]Point of Sale Analysis'!$B:$B,"not found",0)</f>
        <v>not found</v>
      </c>
    </row>
    <row r="18" spans="1:11" hidden="1" x14ac:dyDescent="0.3">
      <c r="A18" t="s">
        <v>24</v>
      </c>
      <c r="B18">
        <v>1</v>
      </c>
      <c r="C18">
        <v>3</v>
      </c>
      <c r="F18">
        <v>1</v>
      </c>
      <c r="G18">
        <v>0</v>
      </c>
      <c r="H18">
        <v>2</v>
      </c>
      <c r="I18">
        <f t="shared" si="0"/>
        <v>2</v>
      </c>
      <c r="J18" t="str">
        <f>_xlfn.XLOOKUP(A18,'[1]Point of Sale Analysis'!$A:$A,'[1]Point of Sale Analysis'!$B:$B,"not found",0)</f>
        <v>not found</v>
      </c>
    </row>
    <row r="19" spans="1:11" x14ac:dyDescent="0.3">
      <c r="A19" s="1" t="s">
        <v>25</v>
      </c>
      <c r="B19" s="1"/>
      <c r="C19" s="1"/>
      <c r="D19" s="1"/>
      <c r="E19" s="1">
        <v>2</v>
      </c>
      <c r="F19" s="1">
        <v>0</v>
      </c>
      <c r="G19" s="1">
        <v>2</v>
      </c>
      <c r="H19" s="1">
        <v>0</v>
      </c>
      <c r="I19" s="1">
        <f t="shared" si="0"/>
        <v>2</v>
      </c>
      <c r="J19" s="1">
        <f>_xlfn.XLOOKUP(A19,'[1]Point of Sale Analysis'!$A:$A,'[1]Point of Sale Analysis'!$B:$B,"not found",0)</f>
        <v>1</v>
      </c>
      <c r="K19" s="1">
        <f>ABS(J19-I19)</f>
        <v>1</v>
      </c>
    </row>
    <row r="20" spans="1:11" hidden="1" x14ac:dyDescent="0.3">
      <c r="A20" t="s">
        <v>26</v>
      </c>
      <c r="B20">
        <v>1</v>
      </c>
      <c r="C20">
        <v>2</v>
      </c>
      <c r="D20">
        <v>1</v>
      </c>
      <c r="F20">
        <v>1</v>
      </c>
      <c r="G20">
        <v>4</v>
      </c>
      <c r="H20">
        <v>0</v>
      </c>
      <c r="I20">
        <f t="shared" si="0"/>
        <v>4</v>
      </c>
      <c r="J20" t="str">
        <f>_xlfn.XLOOKUP(A20,'[1]Point of Sale Analysis'!$A:$A,'[1]Point of Sale Analysis'!$B:$B,"not found",0)</f>
        <v>not found</v>
      </c>
    </row>
    <row r="21" spans="1:11" x14ac:dyDescent="0.3">
      <c r="A21" s="1" t="s">
        <v>27</v>
      </c>
      <c r="B21" s="1">
        <v>1</v>
      </c>
      <c r="C21" s="1"/>
      <c r="D21" s="1"/>
      <c r="E21" s="1"/>
      <c r="F21" s="1">
        <v>0</v>
      </c>
      <c r="G21" s="1">
        <v>2</v>
      </c>
      <c r="H21" s="1">
        <v>0</v>
      </c>
      <c r="I21" s="1">
        <f t="shared" si="0"/>
        <v>2</v>
      </c>
      <c r="J21" s="1">
        <f>_xlfn.XLOOKUP(A21,'[1]Point of Sale Analysis'!$A:$A,'[1]Point of Sale Analysis'!$B:$B,"not found",0)</f>
        <v>2</v>
      </c>
      <c r="K21" s="1">
        <f t="shared" ref="K21:K22" si="2">ABS(J21-I21)</f>
        <v>0</v>
      </c>
    </row>
    <row r="22" spans="1:11" x14ac:dyDescent="0.3">
      <c r="A22" s="1" t="s">
        <v>28</v>
      </c>
      <c r="B22" s="1">
        <v>-1</v>
      </c>
      <c r="C22" s="1"/>
      <c r="D22" s="1">
        <v>4</v>
      </c>
      <c r="E22" s="1">
        <v>2</v>
      </c>
      <c r="F22" s="1">
        <v>0</v>
      </c>
      <c r="G22" s="1">
        <v>5</v>
      </c>
      <c r="H22" s="1">
        <v>0</v>
      </c>
      <c r="I22" s="1">
        <f t="shared" si="0"/>
        <v>5</v>
      </c>
      <c r="J22" s="1">
        <f>_xlfn.XLOOKUP(A22,'[1]Point of Sale Analysis'!$A:$A,'[1]Point of Sale Analysis'!$B:$B,"not found",0)</f>
        <v>1</v>
      </c>
      <c r="K22" s="1">
        <f t="shared" si="2"/>
        <v>4</v>
      </c>
    </row>
    <row r="23" spans="1:11" hidden="1" x14ac:dyDescent="0.3">
      <c r="A23" t="s">
        <v>29</v>
      </c>
      <c r="C23">
        <v>1</v>
      </c>
      <c r="F23">
        <v>0</v>
      </c>
      <c r="G23">
        <v>3</v>
      </c>
      <c r="H23">
        <v>0</v>
      </c>
      <c r="I23">
        <f t="shared" si="0"/>
        <v>3</v>
      </c>
      <c r="J23" t="str">
        <f>_xlfn.XLOOKUP(A23,'[1]Point of Sale Analysis'!$A:$A,'[1]Point of Sale Analysis'!$B:$B,"not found",0)</f>
        <v>not found</v>
      </c>
    </row>
    <row r="24" spans="1:11" x14ac:dyDescent="0.3">
      <c r="A24" s="1" t="s">
        <v>30</v>
      </c>
      <c r="B24" s="1">
        <v>3</v>
      </c>
      <c r="C24" s="1"/>
      <c r="D24" s="1"/>
      <c r="E24" s="1"/>
      <c r="F24" s="1">
        <v>0</v>
      </c>
      <c r="G24" s="1">
        <v>2</v>
      </c>
      <c r="H24" s="1">
        <v>1</v>
      </c>
      <c r="I24" s="1">
        <f t="shared" si="0"/>
        <v>3</v>
      </c>
      <c r="J24" s="1">
        <f>_xlfn.XLOOKUP(A24,'[1]Point of Sale Analysis'!$A:$A,'[1]Point of Sale Analysis'!$B:$B,"not found",0)</f>
        <v>1</v>
      </c>
      <c r="K24" s="1">
        <f t="shared" ref="K24:K25" si="3">ABS(J24-I24)</f>
        <v>2</v>
      </c>
    </row>
    <row r="25" spans="1:11" x14ac:dyDescent="0.3">
      <c r="A25" s="1" t="s">
        <v>31</v>
      </c>
      <c r="B25" s="1"/>
      <c r="C25" s="1"/>
      <c r="D25" s="1"/>
      <c r="E25" s="1">
        <v>2</v>
      </c>
      <c r="F25" s="1">
        <v>0</v>
      </c>
      <c r="G25" s="1">
        <v>1</v>
      </c>
      <c r="H25" s="1">
        <v>1</v>
      </c>
      <c r="I25" s="1">
        <f t="shared" si="0"/>
        <v>2</v>
      </c>
      <c r="J25" s="1">
        <f>_xlfn.XLOOKUP(A25,'[1]Point of Sale Analysis'!$A:$A,'[1]Point of Sale Analysis'!$B:$B,"not found",0)</f>
        <v>1</v>
      </c>
      <c r="K25" s="1">
        <f t="shared" si="3"/>
        <v>1</v>
      </c>
    </row>
    <row r="26" spans="1:11" hidden="1" x14ac:dyDescent="0.3">
      <c r="A26" t="s">
        <v>32</v>
      </c>
      <c r="B26">
        <v>1</v>
      </c>
      <c r="E26">
        <v>1</v>
      </c>
      <c r="F26">
        <v>0</v>
      </c>
      <c r="G26">
        <v>2</v>
      </c>
      <c r="H26">
        <v>0</v>
      </c>
      <c r="I26">
        <f t="shared" si="0"/>
        <v>2</v>
      </c>
      <c r="J26" t="str">
        <f>_xlfn.XLOOKUP(A26,'[1]Point of Sale Analysis'!$A:$A,'[1]Point of Sale Analysis'!$B:$B,"not found",0)</f>
        <v>not found</v>
      </c>
    </row>
    <row r="27" spans="1:11" hidden="1" x14ac:dyDescent="0.3">
      <c r="A27" t="s">
        <v>33</v>
      </c>
      <c r="C27">
        <v>2</v>
      </c>
      <c r="F27">
        <v>1</v>
      </c>
      <c r="G27">
        <v>3</v>
      </c>
      <c r="H27">
        <v>0</v>
      </c>
      <c r="I27">
        <f t="shared" si="0"/>
        <v>3</v>
      </c>
      <c r="J27" t="str">
        <f>_xlfn.XLOOKUP(A27,'[1]Point of Sale Analysis'!$A:$A,'[1]Point of Sale Analysis'!$B:$B,"not found",0)</f>
        <v>not found</v>
      </c>
    </row>
    <row r="28" spans="1:11" hidden="1" x14ac:dyDescent="0.3">
      <c r="A28" t="s">
        <v>34</v>
      </c>
      <c r="B28">
        <v>2</v>
      </c>
      <c r="C28">
        <v>1</v>
      </c>
      <c r="F28">
        <v>0</v>
      </c>
      <c r="G28">
        <v>5</v>
      </c>
      <c r="H28">
        <v>0</v>
      </c>
      <c r="I28">
        <f t="shared" si="0"/>
        <v>5</v>
      </c>
      <c r="J28" t="str">
        <f>_xlfn.XLOOKUP(A28,'[1]Point of Sale Analysis'!$A:$A,'[1]Point of Sale Analysis'!$B:$B,"not found",0)</f>
        <v>not found</v>
      </c>
    </row>
    <row r="29" spans="1:11" hidden="1" x14ac:dyDescent="0.3">
      <c r="A29" t="s">
        <v>35</v>
      </c>
      <c r="B29">
        <v>1</v>
      </c>
      <c r="C29">
        <v>2</v>
      </c>
      <c r="E29">
        <v>1</v>
      </c>
      <c r="F29">
        <v>0</v>
      </c>
      <c r="G29">
        <v>2</v>
      </c>
      <c r="H29">
        <v>0</v>
      </c>
      <c r="I29">
        <f t="shared" si="0"/>
        <v>2</v>
      </c>
      <c r="J29" t="str">
        <f>_xlfn.XLOOKUP(A29,'[1]Point of Sale Analysis'!$A:$A,'[1]Point of Sale Analysis'!$B:$B,"not found",0)</f>
        <v>not found</v>
      </c>
    </row>
    <row r="30" spans="1:11" hidden="1" x14ac:dyDescent="0.3">
      <c r="A30" t="s">
        <v>36</v>
      </c>
      <c r="B30">
        <v>1</v>
      </c>
      <c r="C30">
        <v>1</v>
      </c>
      <c r="D30">
        <v>1</v>
      </c>
      <c r="E30">
        <v>1</v>
      </c>
      <c r="F30">
        <v>3</v>
      </c>
      <c r="G30">
        <v>3</v>
      </c>
      <c r="H30">
        <v>0</v>
      </c>
      <c r="I30">
        <f t="shared" si="0"/>
        <v>3</v>
      </c>
      <c r="J30" t="str">
        <f>_xlfn.XLOOKUP(A30,'[1]Point of Sale Analysis'!$A:$A,'[1]Point of Sale Analysis'!$B:$B,"not found",0)</f>
        <v>not found</v>
      </c>
    </row>
    <row r="31" spans="1:11" x14ac:dyDescent="0.3">
      <c r="A31" s="1" t="s">
        <v>37</v>
      </c>
      <c r="B31" s="1"/>
      <c r="C31" s="1"/>
      <c r="D31" s="1"/>
      <c r="E31" s="1">
        <v>1</v>
      </c>
      <c r="F31" s="1">
        <v>0</v>
      </c>
      <c r="G31" s="1">
        <v>0</v>
      </c>
      <c r="H31" s="1">
        <v>1</v>
      </c>
      <c r="I31" s="1">
        <f t="shared" si="0"/>
        <v>1</v>
      </c>
      <c r="J31" s="1">
        <f>_xlfn.XLOOKUP(A31,'[1]Point of Sale Analysis'!$A:$A,'[1]Point of Sale Analysis'!$B:$B,"not found",0)</f>
        <v>1</v>
      </c>
      <c r="K31" s="1">
        <f t="shared" ref="K31:K32" si="4">ABS(J31-I31)</f>
        <v>0</v>
      </c>
    </row>
    <row r="32" spans="1:11" x14ac:dyDescent="0.3">
      <c r="A32" s="1" t="s">
        <v>38</v>
      </c>
      <c r="B32" s="1">
        <v>1</v>
      </c>
      <c r="C32" s="1"/>
      <c r="D32" s="1"/>
      <c r="E32" s="1">
        <v>1</v>
      </c>
      <c r="F32" s="1">
        <v>0</v>
      </c>
      <c r="G32" s="1">
        <v>0</v>
      </c>
      <c r="H32" s="1">
        <v>1</v>
      </c>
      <c r="I32" s="1">
        <f t="shared" si="0"/>
        <v>1</v>
      </c>
      <c r="J32" s="1">
        <f>_xlfn.XLOOKUP(A32,'[1]Point of Sale Analysis'!$A:$A,'[1]Point of Sale Analysis'!$B:$B,"not found",0)</f>
        <v>1</v>
      </c>
      <c r="K32" s="1">
        <f t="shared" si="4"/>
        <v>0</v>
      </c>
    </row>
    <row r="33" spans="1:11" hidden="1" x14ac:dyDescent="0.3">
      <c r="A33" t="s">
        <v>39</v>
      </c>
      <c r="B33">
        <v>1</v>
      </c>
      <c r="F33">
        <v>0</v>
      </c>
      <c r="G33">
        <v>2</v>
      </c>
      <c r="H33">
        <v>0</v>
      </c>
      <c r="I33">
        <f t="shared" si="0"/>
        <v>2</v>
      </c>
      <c r="J33" t="str">
        <f>_xlfn.XLOOKUP(A33,'[1]Point of Sale Analysis'!$A:$A,'[1]Point of Sale Analysis'!$B:$B,"not found",0)</f>
        <v>not found</v>
      </c>
    </row>
    <row r="34" spans="1:11" hidden="1" x14ac:dyDescent="0.3">
      <c r="A34" t="s">
        <v>40</v>
      </c>
      <c r="C34">
        <v>1</v>
      </c>
      <c r="F34">
        <v>0</v>
      </c>
      <c r="G34">
        <v>1</v>
      </c>
      <c r="H34">
        <v>0</v>
      </c>
      <c r="I34">
        <f t="shared" si="0"/>
        <v>1</v>
      </c>
      <c r="J34" t="str">
        <f>_xlfn.XLOOKUP(A34,'[1]Point of Sale Analysis'!$A:$A,'[1]Point of Sale Analysis'!$B:$B,"not found",0)</f>
        <v>not found</v>
      </c>
    </row>
    <row r="35" spans="1:11" hidden="1" x14ac:dyDescent="0.3">
      <c r="A35" t="s">
        <v>41</v>
      </c>
      <c r="C35">
        <v>1</v>
      </c>
      <c r="F35">
        <v>0</v>
      </c>
      <c r="G35">
        <v>0</v>
      </c>
      <c r="H35">
        <v>1</v>
      </c>
      <c r="I35">
        <f t="shared" si="0"/>
        <v>1</v>
      </c>
      <c r="J35" t="str">
        <f>_xlfn.XLOOKUP(A35,'[1]Point of Sale Analysis'!$A:$A,'[1]Point of Sale Analysis'!$B:$B,"not found",0)</f>
        <v>not found</v>
      </c>
    </row>
    <row r="36" spans="1:11" hidden="1" x14ac:dyDescent="0.3">
      <c r="A36" t="s">
        <v>42</v>
      </c>
      <c r="E36">
        <v>3</v>
      </c>
      <c r="F36">
        <v>2</v>
      </c>
      <c r="G36">
        <v>1</v>
      </c>
      <c r="H36">
        <v>2</v>
      </c>
      <c r="I36">
        <f t="shared" si="0"/>
        <v>3</v>
      </c>
      <c r="J36" t="str">
        <f>_xlfn.XLOOKUP(A36,'[1]Point of Sale Analysis'!$A:$A,'[1]Point of Sale Analysis'!$B:$B,"not found",0)</f>
        <v>not found</v>
      </c>
    </row>
    <row r="37" spans="1:11" x14ac:dyDescent="0.3">
      <c r="A37" s="1" t="s">
        <v>43</v>
      </c>
      <c r="B37" s="1">
        <v>1</v>
      </c>
      <c r="C37" s="1">
        <v>1</v>
      </c>
      <c r="D37" s="1">
        <v>1</v>
      </c>
      <c r="E37" s="1"/>
      <c r="F37" s="1">
        <v>2</v>
      </c>
      <c r="G37" s="1">
        <v>3</v>
      </c>
      <c r="H37" s="1">
        <v>0</v>
      </c>
      <c r="I37" s="1">
        <f t="shared" si="0"/>
        <v>3</v>
      </c>
      <c r="J37" s="1">
        <f>_xlfn.XLOOKUP(A37,'[1]Point of Sale Analysis'!$A:$A,'[1]Point of Sale Analysis'!$B:$B,"not found",0)</f>
        <v>1</v>
      </c>
      <c r="K37" s="1">
        <f>ABS(J37-I37)</f>
        <v>2</v>
      </c>
    </row>
    <row r="38" spans="1:11" hidden="1" x14ac:dyDescent="0.3">
      <c r="A38" t="s">
        <v>44</v>
      </c>
      <c r="B38">
        <v>2</v>
      </c>
      <c r="C38">
        <v>1</v>
      </c>
      <c r="D38">
        <v>2</v>
      </c>
      <c r="E38">
        <v>2</v>
      </c>
      <c r="F38">
        <v>1</v>
      </c>
      <c r="G38">
        <v>0</v>
      </c>
      <c r="H38">
        <v>2</v>
      </c>
      <c r="I38">
        <f t="shared" si="0"/>
        <v>2</v>
      </c>
      <c r="J38" t="str">
        <f>_xlfn.XLOOKUP(A38,'[1]Point of Sale Analysis'!$A:$A,'[1]Point of Sale Analysis'!$B:$B,"not found",0)</f>
        <v>not found</v>
      </c>
    </row>
    <row r="39" spans="1:11" hidden="1" x14ac:dyDescent="0.3">
      <c r="A39" t="s">
        <v>45</v>
      </c>
      <c r="B39">
        <v>4</v>
      </c>
      <c r="F39">
        <v>0</v>
      </c>
      <c r="G39">
        <v>1</v>
      </c>
      <c r="H39">
        <v>3</v>
      </c>
      <c r="I39">
        <f t="shared" si="0"/>
        <v>4</v>
      </c>
      <c r="J39" t="str">
        <f>_xlfn.XLOOKUP(A39,'[1]Point of Sale Analysis'!$A:$A,'[1]Point of Sale Analysis'!$B:$B,"not found",0)</f>
        <v>not found</v>
      </c>
    </row>
    <row r="40" spans="1:11" x14ac:dyDescent="0.3">
      <c r="A40" s="1" t="s">
        <v>46</v>
      </c>
      <c r="B40" s="1">
        <v>6</v>
      </c>
      <c r="C40" s="1">
        <v>4</v>
      </c>
      <c r="D40" s="1">
        <v>7</v>
      </c>
      <c r="E40" s="1">
        <v>3</v>
      </c>
      <c r="F40" s="1">
        <v>0</v>
      </c>
      <c r="G40" s="1">
        <v>1</v>
      </c>
      <c r="H40" s="1">
        <v>4</v>
      </c>
      <c r="I40" s="1">
        <f t="shared" si="0"/>
        <v>5</v>
      </c>
      <c r="J40" s="1">
        <f>_xlfn.XLOOKUP(A40,'[1]Point of Sale Analysis'!$A:$A,'[1]Point of Sale Analysis'!$B:$B,"not found",0)</f>
        <v>2</v>
      </c>
      <c r="K40" s="1">
        <f>ABS(J40-I40)</f>
        <v>3</v>
      </c>
    </row>
    <row r="41" spans="1:11" hidden="1" x14ac:dyDescent="0.3">
      <c r="A41" t="s">
        <v>47</v>
      </c>
      <c r="B41">
        <v>2</v>
      </c>
      <c r="D41">
        <v>1</v>
      </c>
      <c r="F41">
        <v>0</v>
      </c>
      <c r="G41">
        <v>1</v>
      </c>
      <c r="H41">
        <v>0</v>
      </c>
      <c r="I41">
        <f t="shared" si="0"/>
        <v>1</v>
      </c>
      <c r="J41" t="str">
        <f>_xlfn.XLOOKUP(A41,'[1]Point of Sale Analysis'!$A:$A,'[1]Point of Sale Analysis'!$B:$B,"not found",0)</f>
        <v>not found</v>
      </c>
    </row>
    <row r="42" spans="1:11" hidden="1" x14ac:dyDescent="0.3">
      <c r="A42" t="s">
        <v>48</v>
      </c>
      <c r="B42">
        <v>3</v>
      </c>
      <c r="C42">
        <v>3</v>
      </c>
      <c r="D42">
        <v>1</v>
      </c>
      <c r="F42">
        <v>0</v>
      </c>
      <c r="G42">
        <v>0</v>
      </c>
      <c r="H42">
        <v>3</v>
      </c>
      <c r="I42">
        <f t="shared" si="0"/>
        <v>3</v>
      </c>
      <c r="J42" t="str">
        <f>_xlfn.XLOOKUP(A42,'[1]Point of Sale Analysis'!$A:$A,'[1]Point of Sale Analysis'!$B:$B,"not found",0)</f>
        <v>not found</v>
      </c>
    </row>
    <row r="43" spans="1:11" hidden="1" x14ac:dyDescent="0.3">
      <c r="A43" t="s">
        <v>49</v>
      </c>
      <c r="B43">
        <v>8</v>
      </c>
      <c r="C43">
        <v>3</v>
      </c>
      <c r="E43">
        <v>3</v>
      </c>
      <c r="F43">
        <v>0</v>
      </c>
      <c r="G43">
        <v>1</v>
      </c>
      <c r="H43">
        <v>2</v>
      </c>
      <c r="I43">
        <f t="shared" si="0"/>
        <v>3</v>
      </c>
      <c r="J43" t="str">
        <f>_xlfn.XLOOKUP(A43,'[1]Point of Sale Analysis'!$A:$A,'[1]Point of Sale Analysis'!$B:$B,"not found",0)</f>
        <v>not found</v>
      </c>
    </row>
    <row r="44" spans="1:11" x14ac:dyDescent="0.3">
      <c r="A44" s="1" t="s">
        <v>50</v>
      </c>
      <c r="B44" s="1"/>
      <c r="C44" s="1">
        <v>1</v>
      </c>
      <c r="D44" s="1">
        <v>1</v>
      </c>
      <c r="E44" s="1">
        <v>4</v>
      </c>
      <c r="F44" s="1">
        <v>7</v>
      </c>
      <c r="G44" s="1">
        <v>6</v>
      </c>
      <c r="H44" s="1">
        <v>0</v>
      </c>
      <c r="I44" s="1">
        <f t="shared" si="0"/>
        <v>6</v>
      </c>
      <c r="J44" s="1">
        <f>_xlfn.XLOOKUP(A44,'[1]Point of Sale Analysis'!$A:$A,'[1]Point of Sale Analysis'!$B:$B,"not found",0)</f>
        <v>1</v>
      </c>
      <c r="K44" s="1">
        <f>ABS(J44-I44)</f>
        <v>5</v>
      </c>
    </row>
    <row r="45" spans="1:11" hidden="1" x14ac:dyDescent="0.3">
      <c r="A45" t="s">
        <v>51</v>
      </c>
      <c r="B45">
        <v>1</v>
      </c>
      <c r="F45">
        <v>4</v>
      </c>
      <c r="G45">
        <v>1</v>
      </c>
      <c r="H45">
        <v>0</v>
      </c>
      <c r="I45">
        <f t="shared" si="0"/>
        <v>1</v>
      </c>
      <c r="J45" t="str">
        <f>_xlfn.XLOOKUP(A45,'[1]Point of Sale Analysis'!$A:$A,'[1]Point of Sale Analysis'!$B:$B,"not found",0)</f>
        <v>not found</v>
      </c>
    </row>
    <row r="46" spans="1:11" hidden="1" x14ac:dyDescent="0.3">
      <c r="A46" t="s">
        <v>52</v>
      </c>
      <c r="B46">
        <v>1</v>
      </c>
      <c r="D46">
        <v>3</v>
      </c>
      <c r="E46">
        <v>1</v>
      </c>
      <c r="F46">
        <v>4</v>
      </c>
      <c r="G46">
        <v>1</v>
      </c>
      <c r="H46">
        <v>0</v>
      </c>
      <c r="I46">
        <f t="shared" si="0"/>
        <v>1</v>
      </c>
      <c r="J46" t="str">
        <f>_xlfn.XLOOKUP(A46,'[1]Point of Sale Analysis'!$A:$A,'[1]Point of Sale Analysis'!$B:$B,"not found",0)</f>
        <v>not found</v>
      </c>
    </row>
    <row r="47" spans="1:11" hidden="1" x14ac:dyDescent="0.3">
      <c r="A47" t="s">
        <v>53</v>
      </c>
      <c r="B47">
        <v>4</v>
      </c>
      <c r="F47">
        <v>0</v>
      </c>
      <c r="G47">
        <v>1</v>
      </c>
      <c r="H47">
        <v>3</v>
      </c>
      <c r="I47">
        <f t="shared" si="0"/>
        <v>4</v>
      </c>
      <c r="J47" t="str">
        <f>_xlfn.XLOOKUP(A47,'[1]Point of Sale Analysis'!$A:$A,'[1]Point of Sale Analysis'!$B:$B,"not found",0)</f>
        <v>not found</v>
      </c>
    </row>
    <row r="48" spans="1:11" hidden="1" x14ac:dyDescent="0.3">
      <c r="A48" t="s">
        <v>54</v>
      </c>
      <c r="B48">
        <v>3</v>
      </c>
      <c r="D48">
        <v>1</v>
      </c>
      <c r="F48">
        <v>3</v>
      </c>
      <c r="G48">
        <v>1</v>
      </c>
      <c r="H48">
        <v>1</v>
      </c>
      <c r="I48">
        <f t="shared" si="0"/>
        <v>2</v>
      </c>
      <c r="J48" t="str">
        <f>_xlfn.XLOOKUP(A48,'[1]Point of Sale Analysis'!$A:$A,'[1]Point of Sale Analysis'!$B:$B,"not found",0)</f>
        <v>not found</v>
      </c>
    </row>
    <row r="49" spans="1:11" hidden="1" x14ac:dyDescent="0.3">
      <c r="A49" t="s">
        <v>55</v>
      </c>
      <c r="B49">
        <v>1</v>
      </c>
      <c r="F49">
        <v>0</v>
      </c>
      <c r="G49">
        <v>2</v>
      </c>
      <c r="H49">
        <v>0</v>
      </c>
      <c r="I49">
        <f t="shared" si="0"/>
        <v>2</v>
      </c>
      <c r="J49" t="str">
        <f>_xlfn.XLOOKUP(A49,'[1]Point of Sale Analysis'!$A:$A,'[1]Point of Sale Analysis'!$B:$B,"not found",0)</f>
        <v>not found</v>
      </c>
    </row>
    <row r="50" spans="1:11" hidden="1" x14ac:dyDescent="0.3">
      <c r="A50" t="s">
        <v>56</v>
      </c>
      <c r="B50">
        <v>4</v>
      </c>
      <c r="C50">
        <v>1</v>
      </c>
      <c r="F50">
        <v>0</v>
      </c>
      <c r="G50">
        <v>1</v>
      </c>
      <c r="H50">
        <v>1</v>
      </c>
      <c r="I50">
        <f t="shared" si="0"/>
        <v>2</v>
      </c>
      <c r="J50" t="str">
        <f>_xlfn.XLOOKUP(A50,'[1]Point of Sale Analysis'!$A:$A,'[1]Point of Sale Analysis'!$B:$B,"not found",0)</f>
        <v>not found</v>
      </c>
    </row>
    <row r="51" spans="1:11" hidden="1" x14ac:dyDescent="0.3">
      <c r="A51" t="s">
        <v>57</v>
      </c>
      <c r="B51">
        <v>1</v>
      </c>
      <c r="C51">
        <v>1</v>
      </c>
      <c r="D51">
        <v>1</v>
      </c>
      <c r="F51">
        <v>0</v>
      </c>
      <c r="G51">
        <v>3</v>
      </c>
      <c r="H51">
        <v>0</v>
      </c>
      <c r="I51">
        <f t="shared" si="0"/>
        <v>3</v>
      </c>
      <c r="J51" t="str">
        <f>_xlfn.XLOOKUP(A51,'[1]Point of Sale Analysis'!$A:$A,'[1]Point of Sale Analysis'!$B:$B,"not found",0)</f>
        <v>not found</v>
      </c>
    </row>
    <row r="52" spans="1:11" hidden="1" x14ac:dyDescent="0.3">
      <c r="A52" t="s">
        <v>58</v>
      </c>
      <c r="B52">
        <v>3</v>
      </c>
      <c r="D52">
        <v>1</v>
      </c>
      <c r="F52">
        <v>2</v>
      </c>
      <c r="G52">
        <v>1</v>
      </c>
      <c r="H52">
        <v>1</v>
      </c>
      <c r="I52">
        <f t="shared" si="0"/>
        <v>2</v>
      </c>
      <c r="J52" t="str">
        <f>_xlfn.XLOOKUP(A52,'[1]Point of Sale Analysis'!$A:$A,'[1]Point of Sale Analysis'!$B:$B,"not found",0)</f>
        <v>not found</v>
      </c>
    </row>
    <row r="53" spans="1:11" hidden="1" x14ac:dyDescent="0.3">
      <c r="A53" t="s">
        <v>59</v>
      </c>
      <c r="C53">
        <v>1</v>
      </c>
      <c r="F53">
        <v>4</v>
      </c>
      <c r="G53">
        <v>0</v>
      </c>
      <c r="H53">
        <v>1</v>
      </c>
      <c r="I53">
        <f t="shared" si="0"/>
        <v>1</v>
      </c>
      <c r="J53" t="str">
        <f>_xlfn.XLOOKUP(A53,'[1]Point of Sale Analysis'!$A:$A,'[1]Point of Sale Analysis'!$B:$B,"not found",0)</f>
        <v>not found</v>
      </c>
    </row>
    <row r="54" spans="1:11" hidden="1" x14ac:dyDescent="0.3">
      <c r="A54" t="s">
        <v>60</v>
      </c>
      <c r="B54">
        <v>4</v>
      </c>
      <c r="C54">
        <v>2</v>
      </c>
      <c r="F54">
        <v>0</v>
      </c>
      <c r="G54">
        <v>3</v>
      </c>
      <c r="H54">
        <v>0</v>
      </c>
      <c r="I54">
        <f t="shared" si="0"/>
        <v>3</v>
      </c>
      <c r="J54" t="str">
        <f>_xlfn.XLOOKUP(A54,'[1]Point of Sale Analysis'!$A:$A,'[1]Point of Sale Analysis'!$B:$B,"not found",0)</f>
        <v>not found</v>
      </c>
    </row>
    <row r="55" spans="1:11" hidden="1" x14ac:dyDescent="0.3">
      <c r="A55" t="s">
        <v>61</v>
      </c>
      <c r="B55">
        <v>2</v>
      </c>
      <c r="C55">
        <v>1</v>
      </c>
      <c r="F55">
        <v>3</v>
      </c>
      <c r="G55">
        <v>3</v>
      </c>
      <c r="H55">
        <v>0</v>
      </c>
      <c r="I55">
        <f t="shared" si="0"/>
        <v>3</v>
      </c>
      <c r="J55" t="str">
        <f>_xlfn.XLOOKUP(A55,'[1]Point of Sale Analysis'!$A:$A,'[1]Point of Sale Analysis'!$B:$B,"not found",0)</f>
        <v>not found</v>
      </c>
    </row>
    <row r="56" spans="1:11" hidden="1" x14ac:dyDescent="0.3">
      <c r="A56" t="s">
        <v>62</v>
      </c>
      <c r="B56">
        <v>1</v>
      </c>
      <c r="C56">
        <v>2</v>
      </c>
      <c r="D56">
        <v>2</v>
      </c>
      <c r="F56">
        <v>1</v>
      </c>
      <c r="G56">
        <v>1</v>
      </c>
      <c r="H56">
        <v>1</v>
      </c>
      <c r="I56">
        <f t="shared" si="0"/>
        <v>2</v>
      </c>
      <c r="J56" t="str">
        <f>_xlfn.XLOOKUP(A56,'[1]Point of Sale Analysis'!$A:$A,'[1]Point of Sale Analysis'!$B:$B,"not found",0)</f>
        <v>not found</v>
      </c>
    </row>
    <row r="57" spans="1:11" hidden="1" x14ac:dyDescent="0.3">
      <c r="A57" t="s">
        <v>63</v>
      </c>
      <c r="B57">
        <v>1</v>
      </c>
      <c r="F57">
        <v>0</v>
      </c>
      <c r="G57">
        <v>-1</v>
      </c>
      <c r="H57">
        <v>2</v>
      </c>
      <c r="I57">
        <f t="shared" si="0"/>
        <v>1</v>
      </c>
      <c r="J57" t="str">
        <f>_xlfn.XLOOKUP(A57,'[1]Point of Sale Analysis'!$A:$A,'[1]Point of Sale Analysis'!$B:$B,"not found",0)</f>
        <v>not found</v>
      </c>
    </row>
    <row r="58" spans="1:11" hidden="1" x14ac:dyDescent="0.3">
      <c r="A58" t="s">
        <v>64</v>
      </c>
      <c r="B58">
        <v>1</v>
      </c>
      <c r="F58">
        <v>0</v>
      </c>
      <c r="G58">
        <v>4</v>
      </c>
      <c r="H58">
        <v>0</v>
      </c>
      <c r="I58">
        <f t="shared" si="0"/>
        <v>4</v>
      </c>
      <c r="J58" t="str">
        <f>_xlfn.XLOOKUP(A58,'[1]Point of Sale Analysis'!$A:$A,'[1]Point of Sale Analysis'!$B:$B,"not found",0)</f>
        <v>not found</v>
      </c>
    </row>
    <row r="59" spans="1:11" hidden="1" x14ac:dyDescent="0.3">
      <c r="A59" t="s">
        <v>65</v>
      </c>
      <c r="C59">
        <v>2</v>
      </c>
      <c r="D59">
        <v>1</v>
      </c>
      <c r="E59">
        <v>1</v>
      </c>
      <c r="F59">
        <v>4</v>
      </c>
      <c r="G59">
        <v>2</v>
      </c>
      <c r="H59">
        <v>0</v>
      </c>
      <c r="I59">
        <f t="shared" si="0"/>
        <v>2</v>
      </c>
      <c r="J59" t="str">
        <f>_xlfn.XLOOKUP(A59,'[1]Point of Sale Analysis'!$A:$A,'[1]Point of Sale Analysis'!$B:$B,"not found",0)</f>
        <v>not found</v>
      </c>
    </row>
    <row r="60" spans="1:11" hidden="1" x14ac:dyDescent="0.3">
      <c r="A60" t="s">
        <v>66</v>
      </c>
      <c r="B60">
        <v>5</v>
      </c>
      <c r="F60">
        <v>6</v>
      </c>
      <c r="G60">
        <v>1</v>
      </c>
      <c r="H60">
        <v>4</v>
      </c>
      <c r="I60">
        <f t="shared" si="0"/>
        <v>5</v>
      </c>
      <c r="J60" t="str">
        <f>_xlfn.XLOOKUP(A60,'[1]Point of Sale Analysis'!$A:$A,'[1]Point of Sale Analysis'!$B:$B,"not found",0)</f>
        <v>not found</v>
      </c>
    </row>
    <row r="61" spans="1:11" hidden="1" x14ac:dyDescent="0.3">
      <c r="A61" t="s">
        <v>67</v>
      </c>
      <c r="B61">
        <v>2</v>
      </c>
      <c r="D61">
        <v>1</v>
      </c>
      <c r="E61">
        <v>1</v>
      </c>
      <c r="F61">
        <v>3</v>
      </c>
      <c r="G61">
        <v>3</v>
      </c>
      <c r="H61">
        <v>0</v>
      </c>
      <c r="I61">
        <f t="shared" si="0"/>
        <v>3</v>
      </c>
      <c r="J61" t="str">
        <f>_xlfn.XLOOKUP(A61,'[1]Point of Sale Analysis'!$A:$A,'[1]Point of Sale Analysis'!$B:$B,"not found",0)</f>
        <v>not found</v>
      </c>
    </row>
    <row r="62" spans="1:11" hidden="1" x14ac:dyDescent="0.3">
      <c r="A62" t="s">
        <v>68</v>
      </c>
      <c r="B62">
        <v>2</v>
      </c>
      <c r="C62">
        <v>2</v>
      </c>
      <c r="E62">
        <v>3</v>
      </c>
      <c r="F62">
        <v>24</v>
      </c>
      <c r="G62">
        <v>2</v>
      </c>
      <c r="H62">
        <v>0</v>
      </c>
      <c r="I62">
        <f t="shared" si="0"/>
        <v>2</v>
      </c>
      <c r="J62" t="str">
        <f>_xlfn.XLOOKUP(A62,'[1]Point of Sale Analysis'!$A:$A,'[1]Point of Sale Analysis'!$B:$B,"not found",0)</f>
        <v>not found</v>
      </c>
    </row>
    <row r="63" spans="1:11" x14ac:dyDescent="0.3">
      <c r="A63" s="1" t="s">
        <v>69</v>
      </c>
      <c r="B63" s="1">
        <v>3</v>
      </c>
      <c r="C63" s="1">
        <v>7</v>
      </c>
      <c r="D63" s="1"/>
      <c r="E63" s="1">
        <v>1</v>
      </c>
      <c r="F63" s="1">
        <v>4</v>
      </c>
      <c r="G63" s="1">
        <v>1</v>
      </c>
      <c r="H63" s="1">
        <v>2</v>
      </c>
      <c r="I63" s="1">
        <f t="shared" si="0"/>
        <v>3</v>
      </c>
      <c r="J63" s="1">
        <f>_xlfn.XLOOKUP(A63,'[1]Point of Sale Analysis'!$A:$A,'[1]Point of Sale Analysis'!$B:$B,"not found",0)</f>
        <v>1</v>
      </c>
      <c r="K63" s="1">
        <f>ABS(J63-I63)</f>
        <v>2</v>
      </c>
    </row>
    <row r="64" spans="1:11" hidden="1" x14ac:dyDescent="0.3">
      <c r="A64" t="s">
        <v>70</v>
      </c>
      <c r="B64">
        <v>3</v>
      </c>
      <c r="C64">
        <v>1</v>
      </c>
      <c r="D64">
        <v>1</v>
      </c>
      <c r="E64">
        <v>1</v>
      </c>
      <c r="F64">
        <v>0</v>
      </c>
      <c r="G64">
        <v>3</v>
      </c>
      <c r="H64">
        <v>0</v>
      </c>
      <c r="I64">
        <f t="shared" si="0"/>
        <v>3</v>
      </c>
      <c r="J64" t="str">
        <f>_xlfn.XLOOKUP(A64,'[1]Point of Sale Analysis'!$A:$A,'[1]Point of Sale Analysis'!$B:$B,"not found",0)</f>
        <v>not found</v>
      </c>
    </row>
    <row r="65" spans="1:11" x14ac:dyDescent="0.3">
      <c r="A65" s="1" t="s">
        <v>71</v>
      </c>
      <c r="B65" s="1"/>
      <c r="C65" s="1"/>
      <c r="D65" s="1"/>
      <c r="E65" s="1">
        <v>1</v>
      </c>
      <c r="F65" s="1">
        <v>0</v>
      </c>
      <c r="G65" s="1">
        <v>0</v>
      </c>
      <c r="H65" s="1">
        <v>1</v>
      </c>
      <c r="I65" s="1">
        <f t="shared" si="0"/>
        <v>1</v>
      </c>
      <c r="J65" s="1">
        <f>_xlfn.XLOOKUP(A65,'[1]Point of Sale Analysis'!$A:$A,'[1]Point of Sale Analysis'!$B:$B,"not found",0)</f>
        <v>1</v>
      </c>
      <c r="K65" s="1">
        <f t="shared" ref="K65:K66" si="5">ABS(J65-I65)</f>
        <v>0</v>
      </c>
    </row>
    <row r="66" spans="1:11" x14ac:dyDescent="0.3">
      <c r="A66" s="1" t="s">
        <v>72</v>
      </c>
      <c r="B66" s="1">
        <v>2</v>
      </c>
      <c r="C66" s="1"/>
      <c r="D66" s="1">
        <v>1</v>
      </c>
      <c r="E66" s="1"/>
      <c r="F66" s="1">
        <v>0</v>
      </c>
      <c r="G66" s="1">
        <v>2</v>
      </c>
      <c r="H66" s="1">
        <v>0</v>
      </c>
      <c r="I66" s="1">
        <f t="shared" si="0"/>
        <v>2</v>
      </c>
      <c r="J66" s="1">
        <f>_xlfn.XLOOKUP(A66,'[1]Point of Sale Analysis'!$A:$A,'[1]Point of Sale Analysis'!$B:$B,"not found",0)</f>
        <v>2</v>
      </c>
      <c r="K66" s="1">
        <f t="shared" si="5"/>
        <v>0</v>
      </c>
    </row>
    <row r="67" spans="1:11" hidden="1" x14ac:dyDescent="0.3">
      <c r="A67" t="s">
        <v>73</v>
      </c>
      <c r="B67">
        <v>1</v>
      </c>
      <c r="F67">
        <v>12</v>
      </c>
      <c r="G67">
        <v>0</v>
      </c>
      <c r="H67">
        <v>1</v>
      </c>
      <c r="I67">
        <f t="shared" ref="I67:I130" si="6">G67+H67</f>
        <v>1</v>
      </c>
      <c r="J67" t="str">
        <f>_xlfn.XLOOKUP(A67,'[1]Point of Sale Analysis'!$A:$A,'[1]Point of Sale Analysis'!$B:$B,"not found",0)</f>
        <v>not found</v>
      </c>
    </row>
    <row r="68" spans="1:11" x14ac:dyDescent="0.3">
      <c r="A68" s="1" t="s">
        <v>74</v>
      </c>
      <c r="B68" s="1"/>
      <c r="C68" s="1">
        <v>1</v>
      </c>
      <c r="D68" s="1"/>
      <c r="E68" s="1"/>
      <c r="F68" s="1">
        <v>8</v>
      </c>
      <c r="G68" s="1">
        <v>1</v>
      </c>
      <c r="H68" s="1">
        <v>0</v>
      </c>
      <c r="I68" s="1">
        <f t="shared" si="6"/>
        <v>1</v>
      </c>
      <c r="J68" s="1">
        <f>_xlfn.XLOOKUP(A68,'[1]Point of Sale Analysis'!$A:$A,'[1]Point of Sale Analysis'!$B:$B,"not found",0)</f>
        <v>1</v>
      </c>
      <c r="K68" s="1">
        <f>ABS(J68-I68)</f>
        <v>0</v>
      </c>
    </row>
    <row r="69" spans="1:11" hidden="1" x14ac:dyDescent="0.3">
      <c r="A69" t="s">
        <v>75</v>
      </c>
      <c r="B69">
        <v>3</v>
      </c>
      <c r="D69">
        <v>1</v>
      </c>
      <c r="E69">
        <v>2</v>
      </c>
      <c r="F69">
        <v>3</v>
      </c>
      <c r="G69">
        <v>1</v>
      </c>
      <c r="H69">
        <v>1</v>
      </c>
      <c r="I69">
        <f t="shared" si="6"/>
        <v>2</v>
      </c>
      <c r="J69" t="str">
        <f>_xlfn.XLOOKUP(A69,'[1]Point of Sale Analysis'!$A:$A,'[1]Point of Sale Analysis'!$B:$B,"not found",0)</f>
        <v>not found</v>
      </c>
    </row>
    <row r="70" spans="1:11" x14ac:dyDescent="0.3">
      <c r="A70" s="1" t="s">
        <v>76</v>
      </c>
      <c r="B70" s="1">
        <v>1</v>
      </c>
      <c r="C70" s="1"/>
      <c r="D70" s="1"/>
      <c r="E70" s="1"/>
      <c r="F70" s="1">
        <v>0</v>
      </c>
      <c r="G70" s="1">
        <v>1</v>
      </c>
      <c r="H70" s="1">
        <v>0</v>
      </c>
      <c r="I70" s="1">
        <f t="shared" si="6"/>
        <v>1</v>
      </c>
      <c r="J70" s="1">
        <f>_xlfn.XLOOKUP(A70,'[1]Point of Sale Analysis'!$A:$A,'[1]Point of Sale Analysis'!$B:$B,"not found",0)</f>
        <v>1</v>
      </c>
      <c r="K70" s="1">
        <f t="shared" ref="K70:K71" si="7">ABS(J70-I70)</f>
        <v>0</v>
      </c>
    </row>
    <row r="71" spans="1:11" x14ac:dyDescent="0.3">
      <c r="A71" s="1" t="s">
        <v>77</v>
      </c>
      <c r="B71" s="1">
        <v>2</v>
      </c>
      <c r="C71" s="1"/>
      <c r="D71" s="1"/>
      <c r="E71" s="1"/>
      <c r="F71" s="1">
        <v>9</v>
      </c>
      <c r="G71" s="1">
        <v>1</v>
      </c>
      <c r="H71" s="1">
        <v>1</v>
      </c>
      <c r="I71" s="1">
        <f t="shared" si="6"/>
        <v>2</v>
      </c>
      <c r="J71" s="1">
        <f>_xlfn.XLOOKUP(A71,'[1]Point of Sale Analysis'!$A:$A,'[1]Point of Sale Analysis'!$B:$B,"not found",0)</f>
        <v>1</v>
      </c>
      <c r="K71" s="1">
        <f t="shared" si="7"/>
        <v>1</v>
      </c>
    </row>
    <row r="72" spans="1:11" hidden="1" x14ac:dyDescent="0.3">
      <c r="A72" t="s">
        <v>78</v>
      </c>
      <c r="B72">
        <v>4</v>
      </c>
      <c r="C72">
        <v>1</v>
      </c>
      <c r="D72">
        <v>3</v>
      </c>
      <c r="F72">
        <v>9</v>
      </c>
      <c r="G72">
        <v>0</v>
      </c>
      <c r="H72">
        <v>3</v>
      </c>
      <c r="I72">
        <f t="shared" si="6"/>
        <v>3</v>
      </c>
      <c r="J72" t="str">
        <f>_xlfn.XLOOKUP(A72,'[1]Point of Sale Analysis'!$A:$A,'[1]Point of Sale Analysis'!$B:$B,"not found",0)</f>
        <v>not found</v>
      </c>
    </row>
    <row r="73" spans="1:11" hidden="1" x14ac:dyDescent="0.3">
      <c r="A73" t="s">
        <v>79</v>
      </c>
      <c r="C73">
        <v>2</v>
      </c>
      <c r="D73">
        <v>1</v>
      </c>
      <c r="E73">
        <v>3</v>
      </c>
      <c r="F73">
        <v>12</v>
      </c>
      <c r="G73">
        <v>0</v>
      </c>
      <c r="H73">
        <v>2</v>
      </c>
      <c r="I73">
        <f t="shared" si="6"/>
        <v>2</v>
      </c>
      <c r="J73" t="str">
        <f>_xlfn.XLOOKUP(A73,'[1]Point of Sale Analysis'!$A:$A,'[1]Point of Sale Analysis'!$B:$B,"not found",0)</f>
        <v>not found</v>
      </c>
    </row>
    <row r="74" spans="1:11" hidden="1" x14ac:dyDescent="0.3">
      <c r="A74" t="s">
        <v>80</v>
      </c>
      <c r="E74">
        <v>2</v>
      </c>
      <c r="F74">
        <v>0</v>
      </c>
      <c r="G74">
        <v>5</v>
      </c>
      <c r="H74">
        <v>0</v>
      </c>
      <c r="I74">
        <f t="shared" si="6"/>
        <v>5</v>
      </c>
      <c r="J74" t="str">
        <f>_xlfn.XLOOKUP(A74,'[1]Point of Sale Analysis'!$A:$A,'[1]Point of Sale Analysis'!$B:$B,"not found",0)</f>
        <v>not found</v>
      </c>
    </row>
    <row r="75" spans="1:11" hidden="1" x14ac:dyDescent="0.3">
      <c r="A75" t="s">
        <v>81</v>
      </c>
      <c r="B75">
        <v>1</v>
      </c>
      <c r="F75">
        <v>0</v>
      </c>
      <c r="G75">
        <v>0</v>
      </c>
      <c r="H75">
        <v>1</v>
      </c>
      <c r="I75">
        <f t="shared" si="6"/>
        <v>1</v>
      </c>
      <c r="J75" t="str">
        <f>_xlfn.XLOOKUP(A75,'[1]Point of Sale Analysis'!$A:$A,'[1]Point of Sale Analysis'!$B:$B,"not found",0)</f>
        <v>not found</v>
      </c>
    </row>
    <row r="76" spans="1:11" hidden="1" x14ac:dyDescent="0.3">
      <c r="A76" t="s">
        <v>82</v>
      </c>
      <c r="B76">
        <v>1</v>
      </c>
      <c r="F76">
        <v>0</v>
      </c>
      <c r="G76">
        <v>2</v>
      </c>
      <c r="H76">
        <v>0</v>
      </c>
      <c r="I76">
        <f t="shared" si="6"/>
        <v>2</v>
      </c>
      <c r="J76" t="str">
        <f>_xlfn.XLOOKUP(A76,'[1]Point of Sale Analysis'!$A:$A,'[1]Point of Sale Analysis'!$B:$B,"not found",0)</f>
        <v>not found</v>
      </c>
    </row>
    <row r="77" spans="1:11" hidden="1" x14ac:dyDescent="0.3">
      <c r="A77" t="s">
        <v>83</v>
      </c>
      <c r="B77">
        <v>2</v>
      </c>
      <c r="F77">
        <v>3</v>
      </c>
      <c r="G77">
        <v>0</v>
      </c>
      <c r="H77">
        <v>2</v>
      </c>
      <c r="I77">
        <f t="shared" si="6"/>
        <v>2</v>
      </c>
      <c r="J77" t="str">
        <f>_xlfn.XLOOKUP(A77,'[1]Point of Sale Analysis'!$A:$A,'[1]Point of Sale Analysis'!$B:$B,"not found",0)</f>
        <v>not found</v>
      </c>
    </row>
    <row r="78" spans="1:11" hidden="1" x14ac:dyDescent="0.3">
      <c r="A78" t="s">
        <v>84</v>
      </c>
      <c r="E78">
        <v>1</v>
      </c>
      <c r="F78">
        <v>71</v>
      </c>
      <c r="G78">
        <v>10</v>
      </c>
      <c r="H78">
        <v>0</v>
      </c>
      <c r="I78">
        <f t="shared" si="6"/>
        <v>10</v>
      </c>
      <c r="J78" t="str">
        <f>_xlfn.XLOOKUP(A78,'[1]Point of Sale Analysis'!$A:$A,'[1]Point of Sale Analysis'!$B:$B,"not found",0)</f>
        <v>not found</v>
      </c>
    </row>
    <row r="79" spans="1:11" x14ac:dyDescent="0.3">
      <c r="A79" s="1" t="s">
        <v>85</v>
      </c>
      <c r="B79" s="1">
        <v>1</v>
      </c>
      <c r="C79" s="1">
        <v>1</v>
      </c>
      <c r="D79" s="1">
        <v>3</v>
      </c>
      <c r="E79" s="1">
        <v>3</v>
      </c>
      <c r="F79" s="1">
        <v>1</v>
      </c>
      <c r="G79" s="1">
        <v>0</v>
      </c>
      <c r="H79" s="1">
        <v>2</v>
      </c>
      <c r="I79" s="1">
        <f t="shared" si="6"/>
        <v>2</v>
      </c>
      <c r="J79" s="1">
        <f>_xlfn.XLOOKUP(A79,'[1]Point of Sale Analysis'!$A:$A,'[1]Point of Sale Analysis'!$B:$B,"not found",0)</f>
        <v>2</v>
      </c>
      <c r="K79" s="1">
        <f t="shared" ref="K79:K81" si="8">ABS(J79-I79)</f>
        <v>0</v>
      </c>
    </row>
    <row r="80" spans="1:11" x14ac:dyDescent="0.3">
      <c r="A80" s="1" t="s">
        <v>86</v>
      </c>
      <c r="B80" s="1"/>
      <c r="C80" s="1"/>
      <c r="D80" s="1">
        <v>1</v>
      </c>
      <c r="E80" s="1">
        <v>2</v>
      </c>
      <c r="F80" s="1">
        <v>35</v>
      </c>
      <c r="G80" s="1">
        <v>8</v>
      </c>
      <c r="H80" s="1">
        <v>0</v>
      </c>
      <c r="I80" s="1">
        <f t="shared" si="6"/>
        <v>8</v>
      </c>
      <c r="J80" s="1">
        <f>_xlfn.XLOOKUP(A80,'[1]Point of Sale Analysis'!$A:$A,'[1]Point of Sale Analysis'!$B:$B,"not found",0)</f>
        <v>3</v>
      </c>
      <c r="K80" s="1">
        <f t="shared" si="8"/>
        <v>5</v>
      </c>
    </row>
    <row r="81" spans="1:11" x14ac:dyDescent="0.3">
      <c r="A81" s="1" t="s">
        <v>87</v>
      </c>
      <c r="B81" s="1">
        <v>1</v>
      </c>
      <c r="C81" s="1">
        <v>2</v>
      </c>
      <c r="D81" s="1">
        <v>5</v>
      </c>
      <c r="E81" s="1">
        <v>1</v>
      </c>
      <c r="F81" s="1">
        <v>0</v>
      </c>
      <c r="G81" s="1">
        <v>0</v>
      </c>
      <c r="H81" s="1">
        <v>1</v>
      </c>
      <c r="I81" s="1">
        <f t="shared" si="6"/>
        <v>1</v>
      </c>
      <c r="J81" s="1">
        <f>_xlfn.XLOOKUP(A81,'[1]Point of Sale Analysis'!$A:$A,'[1]Point of Sale Analysis'!$B:$B,"not found",0)</f>
        <v>1</v>
      </c>
      <c r="K81" s="1">
        <f t="shared" si="8"/>
        <v>0</v>
      </c>
    </row>
    <row r="82" spans="1:11" hidden="1" x14ac:dyDescent="0.3">
      <c r="A82" t="s">
        <v>88</v>
      </c>
      <c r="B82">
        <v>1</v>
      </c>
      <c r="C82">
        <v>1</v>
      </c>
      <c r="D82">
        <v>1</v>
      </c>
      <c r="F82">
        <v>0</v>
      </c>
      <c r="G82">
        <v>0</v>
      </c>
      <c r="H82">
        <v>1</v>
      </c>
      <c r="I82">
        <f t="shared" si="6"/>
        <v>1</v>
      </c>
      <c r="J82" t="str">
        <f>_xlfn.XLOOKUP(A82,'[1]Point of Sale Analysis'!$A:$A,'[1]Point of Sale Analysis'!$B:$B,"not found",0)</f>
        <v>not found</v>
      </c>
    </row>
    <row r="83" spans="1:11" hidden="1" x14ac:dyDescent="0.3">
      <c r="A83" t="s">
        <v>89</v>
      </c>
      <c r="B83">
        <v>6</v>
      </c>
      <c r="C83">
        <v>2</v>
      </c>
      <c r="D83">
        <v>2</v>
      </c>
      <c r="E83">
        <v>1</v>
      </c>
      <c r="F83">
        <v>10</v>
      </c>
      <c r="G83">
        <v>2</v>
      </c>
      <c r="H83">
        <v>0</v>
      </c>
      <c r="I83">
        <f t="shared" si="6"/>
        <v>2</v>
      </c>
      <c r="J83" t="str">
        <f>_xlfn.XLOOKUP(A83,'[1]Point of Sale Analysis'!$A:$A,'[1]Point of Sale Analysis'!$B:$B,"not found",0)</f>
        <v>not found</v>
      </c>
    </row>
    <row r="84" spans="1:11" x14ac:dyDescent="0.3">
      <c r="A84" s="1" t="s">
        <v>90</v>
      </c>
      <c r="B84" s="1"/>
      <c r="C84" s="1"/>
      <c r="D84" s="1"/>
      <c r="E84" s="1">
        <v>2</v>
      </c>
      <c r="F84" s="1">
        <v>3</v>
      </c>
      <c r="G84" s="1">
        <v>2</v>
      </c>
      <c r="H84" s="1">
        <v>0</v>
      </c>
      <c r="I84" s="1">
        <f t="shared" si="6"/>
        <v>2</v>
      </c>
      <c r="J84" s="1">
        <f>_xlfn.XLOOKUP(A84,'[1]Point of Sale Analysis'!$A:$A,'[1]Point of Sale Analysis'!$B:$B,"not found",0)</f>
        <v>1</v>
      </c>
      <c r="K84" s="1">
        <f t="shared" ref="K84:K86" si="9">ABS(J84-I84)</f>
        <v>1</v>
      </c>
    </row>
    <row r="85" spans="1:11" x14ac:dyDescent="0.3">
      <c r="A85" s="1" t="s">
        <v>91</v>
      </c>
      <c r="B85" s="1"/>
      <c r="C85" s="1"/>
      <c r="D85" s="1"/>
      <c r="E85" s="1">
        <v>1</v>
      </c>
      <c r="F85" s="1">
        <v>2</v>
      </c>
      <c r="G85" s="1">
        <v>4</v>
      </c>
      <c r="H85" s="1">
        <v>0</v>
      </c>
      <c r="I85" s="1">
        <f t="shared" si="6"/>
        <v>4</v>
      </c>
      <c r="J85" s="1">
        <f>_xlfn.XLOOKUP(A85,'[1]Point of Sale Analysis'!$A:$A,'[1]Point of Sale Analysis'!$B:$B,"not found",0)</f>
        <v>1</v>
      </c>
      <c r="K85" s="1">
        <f t="shared" si="9"/>
        <v>3</v>
      </c>
    </row>
    <row r="86" spans="1:11" x14ac:dyDescent="0.3">
      <c r="A86" s="1" t="s">
        <v>92</v>
      </c>
      <c r="B86" s="1"/>
      <c r="C86" s="1"/>
      <c r="D86" s="1"/>
      <c r="E86" s="1">
        <v>1</v>
      </c>
      <c r="F86" s="1">
        <v>25</v>
      </c>
      <c r="G86" s="1">
        <v>0</v>
      </c>
      <c r="H86" s="1">
        <v>1</v>
      </c>
      <c r="I86" s="1">
        <f t="shared" si="6"/>
        <v>1</v>
      </c>
      <c r="J86" s="1">
        <f>_xlfn.XLOOKUP(A86,'[1]Point of Sale Analysis'!$A:$A,'[1]Point of Sale Analysis'!$B:$B,"not found",0)</f>
        <v>1</v>
      </c>
      <c r="K86" s="1">
        <f t="shared" si="9"/>
        <v>0</v>
      </c>
    </row>
    <row r="87" spans="1:11" hidden="1" x14ac:dyDescent="0.3">
      <c r="A87" t="s">
        <v>93</v>
      </c>
      <c r="E87">
        <v>2</v>
      </c>
      <c r="F87">
        <v>12</v>
      </c>
      <c r="G87">
        <v>1</v>
      </c>
      <c r="H87">
        <v>1</v>
      </c>
      <c r="I87">
        <f t="shared" si="6"/>
        <v>2</v>
      </c>
      <c r="J87" t="str">
        <f>_xlfn.XLOOKUP(A87,'[1]Point of Sale Analysis'!$A:$A,'[1]Point of Sale Analysis'!$B:$B,"not found",0)</f>
        <v>not found</v>
      </c>
    </row>
    <row r="88" spans="1:11" x14ac:dyDescent="0.3">
      <c r="A88" s="1" t="s">
        <v>94</v>
      </c>
      <c r="B88" s="1"/>
      <c r="C88" s="1"/>
      <c r="D88" s="1"/>
      <c r="E88" s="1">
        <v>4</v>
      </c>
      <c r="F88" s="1">
        <v>36</v>
      </c>
      <c r="G88" s="1">
        <v>1</v>
      </c>
      <c r="H88" s="1">
        <v>3</v>
      </c>
      <c r="I88" s="1">
        <f t="shared" si="6"/>
        <v>4</v>
      </c>
      <c r="J88" s="1">
        <f>_xlfn.XLOOKUP(A88,'[1]Point of Sale Analysis'!$A:$A,'[1]Point of Sale Analysis'!$B:$B,"not found",0)</f>
        <v>1</v>
      </c>
      <c r="K88" s="1">
        <f t="shared" ref="K88:K91" si="10">ABS(J88-I88)</f>
        <v>3</v>
      </c>
    </row>
    <row r="89" spans="1:11" x14ac:dyDescent="0.3">
      <c r="A89" s="1" t="s">
        <v>95</v>
      </c>
      <c r="B89" s="1">
        <v>36</v>
      </c>
      <c r="C89" s="1">
        <v>48</v>
      </c>
      <c r="D89" s="1">
        <v>40</v>
      </c>
      <c r="E89" s="1">
        <v>16</v>
      </c>
      <c r="F89" s="1">
        <v>123</v>
      </c>
      <c r="G89" s="1">
        <v>14</v>
      </c>
      <c r="H89" s="1">
        <v>24</v>
      </c>
      <c r="I89" s="1">
        <f t="shared" si="6"/>
        <v>38</v>
      </c>
      <c r="J89" s="1">
        <f>_xlfn.XLOOKUP(A89,'[1]Point of Sale Analysis'!$A:$A,'[1]Point of Sale Analysis'!$B:$B,"not found",0)</f>
        <v>12</v>
      </c>
      <c r="K89" s="1">
        <f t="shared" si="10"/>
        <v>26</v>
      </c>
    </row>
    <row r="90" spans="1:11" x14ac:dyDescent="0.3">
      <c r="A90" s="1" t="s">
        <v>96</v>
      </c>
      <c r="B90" s="1"/>
      <c r="C90" s="1"/>
      <c r="D90" s="1"/>
      <c r="E90" s="1">
        <v>6</v>
      </c>
      <c r="F90" s="1">
        <v>27</v>
      </c>
      <c r="G90" s="1">
        <v>5</v>
      </c>
      <c r="H90" s="1">
        <v>1</v>
      </c>
      <c r="I90" s="1">
        <f t="shared" si="6"/>
        <v>6</v>
      </c>
      <c r="J90" s="1">
        <f>_xlfn.XLOOKUP(A90,'[1]Point of Sale Analysis'!$A:$A,'[1]Point of Sale Analysis'!$B:$B,"not found",0)</f>
        <v>1</v>
      </c>
      <c r="K90" s="1">
        <f t="shared" si="10"/>
        <v>5</v>
      </c>
    </row>
    <row r="91" spans="1:11" x14ac:dyDescent="0.3">
      <c r="A91" s="1" t="s">
        <v>97</v>
      </c>
      <c r="B91" s="1">
        <v>5</v>
      </c>
      <c r="C91" s="1">
        <v>5</v>
      </c>
      <c r="D91" s="1">
        <v>2</v>
      </c>
      <c r="E91" s="1">
        <v>2</v>
      </c>
      <c r="F91" s="1">
        <v>37</v>
      </c>
      <c r="G91" s="1">
        <v>4</v>
      </c>
      <c r="H91" s="1">
        <v>0</v>
      </c>
      <c r="I91" s="1">
        <f t="shared" si="6"/>
        <v>4</v>
      </c>
      <c r="J91" s="1">
        <f>_xlfn.XLOOKUP(A91,'[1]Point of Sale Analysis'!$A:$A,'[1]Point of Sale Analysis'!$B:$B,"not found",0)</f>
        <v>1</v>
      </c>
      <c r="K91" s="1">
        <f t="shared" si="10"/>
        <v>3</v>
      </c>
    </row>
    <row r="92" spans="1:11" hidden="1" x14ac:dyDescent="0.3">
      <c r="A92" t="s">
        <v>98</v>
      </c>
      <c r="B92">
        <v>2</v>
      </c>
      <c r="F92">
        <v>0</v>
      </c>
      <c r="G92">
        <v>0</v>
      </c>
      <c r="H92">
        <v>2</v>
      </c>
      <c r="I92">
        <f t="shared" si="6"/>
        <v>2</v>
      </c>
      <c r="J92" t="str">
        <f>_xlfn.XLOOKUP(A92,'[1]Point of Sale Analysis'!$A:$A,'[1]Point of Sale Analysis'!$B:$B,"not found",0)</f>
        <v>not found</v>
      </c>
    </row>
    <row r="93" spans="1:11" x14ac:dyDescent="0.3">
      <c r="A93" s="1" t="s">
        <v>99</v>
      </c>
      <c r="B93" s="1">
        <v>5</v>
      </c>
      <c r="C93" s="1">
        <v>2</v>
      </c>
      <c r="D93" s="1">
        <v>1</v>
      </c>
      <c r="E93" s="1"/>
      <c r="F93" s="1">
        <v>46</v>
      </c>
      <c r="G93" s="1">
        <v>4</v>
      </c>
      <c r="H93" s="1">
        <v>0</v>
      </c>
      <c r="I93" s="1">
        <f t="shared" si="6"/>
        <v>4</v>
      </c>
      <c r="J93" s="1">
        <f>_xlfn.XLOOKUP(A93,'[1]Point of Sale Analysis'!$A:$A,'[1]Point of Sale Analysis'!$B:$B,"not found",0)</f>
        <v>4</v>
      </c>
      <c r="K93" s="1">
        <f t="shared" ref="K93:K96" si="11">ABS(J93-I93)</f>
        <v>0</v>
      </c>
    </row>
    <row r="94" spans="1:11" x14ac:dyDescent="0.3">
      <c r="A94" s="1" t="s">
        <v>100</v>
      </c>
      <c r="B94" s="1">
        <v>6</v>
      </c>
      <c r="C94" s="1">
        <v>4</v>
      </c>
      <c r="D94" s="1">
        <v>6</v>
      </c>
      <c r="E94" s="1">
        <v>3</v>
      </c>
      <c r="F94" s="1">
        <v>42</v>
      </c>
      <c r="G94" s="1">
        <v>9</v>
      </c>
      <c r="H94" s="1">
        <v>0</v>
      </c>
      <c r="I94" s="1">
        <f t="shared" si="6"/>
        <v>9</v>
      </c>
      <c r="J94" s="1">
        <f>_xlfn.XLOOKUP(A94,'[1]Point of Sale Analysis'!$A:$A,'[1]Point of Sale Analysis'!$B:$B,"not found",0)</f>
        <v>1</v>
      </c>
      <c r="K94" s="1">
        <f t="shared" si="11"/>
        <v>8</v>
      </c>
    </row>
    <row r="95" spans="1:11" x14ac:dyDescent="0.3">
      <c r="A95" s="1" t="s">
        <v>101</v>
      </c>
      <c r="B95" s="1"/>
      <c r="C95" s="1"/>
      <c r="D95" s="1"/>
      <c r="E95" s="1">
        <v>2</v>
      </c>
      <c r="F95" s="1">
        <v>7</v>
      </c>
      <c r="G95" s="1">
        <v>2</v>
      </c>
      <c r="H95" s="1">
        <v>0</v>
      </c>
      <c r="I95" s="1">
        <f t="shared" si="6"/>
        <v>2</v>
      </c>
      <c r="J95" s="1">
        <f>_xlfn.XLOOKUP(A95,'[1]Point of Sale Analysis'!$A:$A,'[1]Point of Sale Analysis'!$B:$B,"not found",0)</f>
        <v>2</v>
      </c>
      <c r="K95" s="1">
        <f t="shared" si="11"/>
        <v>0</v>
      </c>
    </row>
    <row r="96" spans="1:11" x14ac:dyDescent="0.3">
      <c r="A96" s="1" t="s">
        <v>102</v>
      </c>
      <c r="B96" s="1">
        <v>1</v>
      </c>
      <c r="C96" s="1">
        <v>4</v>
      </c>
      <c r="D96" s="1">
        <v>3</v>
      </c>
      <c r="E96" s="1"/>
      <c r="F96" s="1">
        <v>34</v>
      </c>
      <c r="G96" s="1">
        <v>4</v>
      </c>
      <c r="H96" s="1">
        <v>0</v>
      </c>
      <c r="I96" s="1">
        <f t="shared" si="6"/>
        <v>4</v>
      </c>
      <c r="J96" s="1">
        <f>_xlfn.XLOOKUP(A96,'[1]Point of Sale Analysis'!$A:$A,'[1]Point of Sale Analysis'!$B:$B,"not found",0)</f>
        <v>1</v>
      </c>
      <c r="K96" s="1">
        <f t="shared" si="11"/>
        <v>3</v>
      </c>
    </row>
    <row r="97" spans="1:11" hidden="1" x14ac:dyDescent="0.3">
      <c r="A97" t="s">
        <v>103</v>
      </c>
      <c r="B97">
        <v>2</v>
      </c>
      <c r="C97">
        <v>1</v>
      </c>
      <c r="E97">
        <v>1</v>
      </c>
      <c r="F97">
        <v>35</v>
      </c>
      <c r="G97">
        <v>4</v>
      </c>
      <c r="H97">
        <v>0</v>
      </c>
      <c r="I97">
        <f t="shared" si="6"/>
        <v>4</v>
      </c>
      <c r="J97" t="str">
        <f>_xlfn.XLOOKUP(A97,'[1]Point of Sale Analysis'!$A:$A,'[1]Point of Sale Analysis'!$B:$B,"not found",0)</f>
        <v>not found</v>
      </c>
    </row>
    <row r="98" spans="1:11" x14ac:dyDescent="0.3">
      <c r="A98" s="1" t="s">
        <v>104</v>
      </c>
      <c r="B98" s="1">
        <v>4</v>
      </c>
      <c r="C98" s="1">
        <v>1</v>
      </c>
      <c r="D98" s="1">
        <v>1</v>
      </c>
      <c r="E98" s="1"/>
      <c r="F98" s="1">
        <v>62</v>
      </c>
      <c r="G98" s="1">
        <v>7</v>
      </c>
      <c r="H98" s="1">
        <v>0</v>
      </c>
      <c r="I98" s="1">
        <f t="shared" si="6"/>
        <v>7</v>
      </c>
      <c r="J98" s="1">
        <f>_xlfn.XLOOKUP(A98,'[1]Point of Sale Analysis'!$A:$A,'[1]Point of Sale Analysis'!$B:$B,"not found",0)</f>
        <v>4</v>
      </c>
      <c r="K98" s="1">
        <f t="shared" ref="K98:K105" si="12">ABS(J98-I98)</f>
        <v>3</v>
      </c>
    </row>
    <row r="99" spans="1:11" x14ac:dyDescent="0.3">
      <c r="A99" s="1" t="s">
        <v>105</v>
      </c>
      <c r="B99" s="1">
        <v>10</v>
      </c>
      <c r="C99" s="1">
        <v>5</v>
      </c>
      <c r="D99" s="1">
        <v>5</v>
      </c>
      <c r="E99" s="1">
        <v>2</v>
      </c>
      <c r="F99" s="1">
        <v>146</v>
      </c>
      <c r="G99" s="1">
        <v>12</v>
      </c>
      <c r="H99" s="1">
        <v>0</v>
      </c>
      <c r="I99" s="1">
        <f t="shared" si="6"/>
        <v>12</v>
      </c>
      <c r="J99" s="1">
        <f>_xlfn.XLOOKUP(A99,'[1]Point of Sale Analysis'!$A:$A,'[1]Point of Sale Analysis'!$B:$B,"not found",0)</f>
        <v>9</v>
      </c>
      <c r="K99" s="1">
        <f t="shared" si="12"/>
        <v>3</v>
      </c>
    </row>
    <row r="100" spans="1:11" x14ac:dyDescent="0.3">
      <c r="A100" s="1" t="s">
        <v>106</v>
      </c>
      <c r="B100" s="1">
        <v>7</v>
      </c>
      <c r="C100" s="1">
        <v>1</v>
      </c>
      <c r="D100" s="1">
        <v>4</v>
      </c>
      <c r="E100" s="1">
        <v>2</v>
      </c>
      <c r="F100" s="1">
        <v>41</v>
      </c>
      <c r="G100" s="1">
        <v>3</v>
      </c>
      <c r="H100" s="1">
        <v>0</v>
      </c>
      <c r="I100" s="1">
        <f t="shared" si="6"/>
        <v>3</v>
      </c>
      <c r="J100" s="1">
        <f>_xlfn.XLOOKUP(A100,'[1]Point of Sale Analysis'!$A:$A,'[1]Point of Sale Analysis'!$B:$B,"not found",0)</f>
        <v>1</v>
      </c>
      <c r="K100" s="1">
        <f t="shared" si="12"/>
        <v>2</v>
      </c>
    </row>
    <row r="101" spans="1:11" x14ac:dyDescent="0.3">
      <c r="A101" s="1" t="s">
        <v>107</v>
      </c>
      <c r="B101" s="1"/>
      <c r="C101" s="1">
        <v>1</v>
      </c>
      <c r="D101" s="1">
        <v>1</v>
      </c>
      <c r="E101" s="1">
        <v>2</v>
      </c>
      <c r="F101" s="1">
        <v>45</v>
      </c>
      <c r="G101" s="1">
        <v>7</v>
      </c>
      <c r="H101" s="1">
        <v>0</v>
      </c>
      <c r="I101" s="1">
        <f t="shared" si="6"/>
        <v>7</v>
      </c>
      <c r="J101" s="1">
        <f>_xlfn.XLOOKUP(A101,'[1]Point of Sale Analysis'!$A:$A,'[1]Point of Sale Analysis'!$B:$B,"not found",0)</f>
        <v>2</v>
      </c>
      <c r="K101" s="1">
        <f t="shared" si="12"/>
        <v>5</v>
      </c>
    </row>
    <row r="102" spans="1:11" x14ac:dyDescent="0.3">
      <c r="A102" s="1" t="s">
        <v>108</v>
      </c>
      <c r="B102" s="1">
        <v>6</v>
      </c>
      <c r="C102" s="1">
        <v>1</v>
      </c>
      <c r="D102" s="1">
        <v>4</v>
      </c>
      <c r="E102" s="1"/>
      <c r="F102" s="1">
        <v>67</v>
      </c>
      <c r="G102" s="1">
        <v>9</v>
      </c>
      <c r="H102" s="1">
        <v>0</v>
      </c>
      <c r="I102" s="1">
        <f t="shared" si="6"/>
        <v>9</v>
      </c>
      <c r="J102" s="1">
        <f>_xlfn.XLOOKUP(A102,'[1]Point of Sale Analysis'!$A:$A,'[1]Point of Sale Analysis'!$B:$B,"not found",0)</f>
        <v>3</v>
      </c>
      <c r="K102" s="1">
        <f t="shared" si="12"/>
        <v>6</v>
      </c>
    </row>
    <row r="103" spans="1:11" x14ac:dyDescent="0.3">
      <c r="A103" s="1" t="s">
        <v>109</v>
      </c>
      <c r="B103" s="1">
        <v>3</v>
      </c>
      <c r="C103" s="1"/>
      <c r="D103" s="1">
        <v>2</v>
      </c>
      <c r="E103" s="1">
        <v>1</v>
      </c>
      <c r="F103" s="1">
        <v>43</v>
      </c>
      <c r="G103" s="1">
        <v>5</v>
      </c>
      <c r="H103" s="1">
        <v>0</v>
      </c>
      <c r="I103" s="1">
        <f t="shared" si="6"/>
        <v>5</v>
      </c>
      <c r="J103" s="1">
        <f>_xlfn.XLOOKUP(A103,'[1]Point of Sale Analysis'!$A:$A,'[1]Point of Sale Analysis'!$B:$B,"not found",0)</f>
        <v>2</v>
      </c>
      <c r="K103" s="1">
        <f t="shared" si="12"/>
        <v>3</v>
      </c>
    </row>
    <row r="104" spans="1:11" x14ac:dyDescent="0.3">
      <c r="A104" s="1" t="s">
        <v>110</v>
      </c>
      <c r="B104" s="1"/>
      <c r="C104" s="1"/>
      <c r="D104" s="1"/>
      <c r="E104" s="1">
        <v>1</v>
      </c>
      <c r="F104" s="1">
        <v>36</v>
      </c>
      <c r="G104" s="1">
        <v>7</v>
      </c>
      <c r="H104" s="1">
        <v>0</v>
      </c>
      <c r="I104" s="1">
        <f t="shared" si="6"/>
        <v>7</v>
      </c>
      <c r="J104" s="1">
        <f>_xlfn.XLOOKUP(A104,'[1]Point of Sale Analysis'!$A:$A,'[1]Point of Sale Analysis'!$B:$B,"not found",0)</f>
        <v>3</v>
      </c>
      <c r="K104" s="1">
        <f t="shared" si="12"/>
        <v>4</v>
      </c>
    </row>
    <row r="105" spans="1:11" x14ac:dyDescent="0.3">
      <c r="A105" s="1" t="s">
        <v>111</v>
      </c>
      <c r="B105" s="1">
        <v>2</v>
      </c>
      <c r="C105" s="1">
        <v>1</v>
      </c>
      <c r="D105" s="1">
        <v>1</v>
      </c>
      <c r="E105" s="1">
        <v>1</v>
      </c>
      <c r="F105" s="1">
        <v>12</v>
      </c>
      <c r="G105" s="1">
        <v>5</v>
      </c>
      <c r="H105" s="1">
        <v>0</v>
      </c>
      <c r="I105" s="1">
        <f t="shared" si="6"/>
        <v>5</v>
      </c>
      <c r="J105" s="1">
        <f>_xlfn.XLOOKUP(A105,'[1]Point of Sale Analysis'!$A:$A,'[1]Point of Sale Analysis'!$B:$B,"not found",0)</f>
        <v>1</v>
      </c>
      <c r="K105" s="1">
        <f t="shared" si="12"/>
        <v>4</v>
      </c>
    </row>
    <row r="106" spans="1:11" hidden="1" x14ac:dyDescent="0.3">
      <c r="A106" t="s">
        <v>112</v>
      </c>
      <c r="B106">
        <v>3</v>
      </c>
      <c r="C106">
        <v>2</v>
      </c>
      <c r="D106">
        <v>3</v>
      </c>
      <c r="F106">
        <v>30</v>
      </c>
      <c r="G106">
        <v>6</v>
      </c>
      <c r="H106">
        <v>0</v>
      </c>
      <c r="I106">
        <f t="shared" si="6"/>
        <v>6</v>
      </c>
      <c r="J106" t="str">
        <f>_xlfn.XLOOKUP(A106,'[1]Point of Sale Analysis'!$A:$A,'[1]Point of Sale Analysis'!$B:$B,"not found",0)</f>
        <v>not found</v>
      </c>
    </row>
    <row r="107" spans="1:11" x14ac:dyDescent="0.3">
      <c r="A107" s="1" t="s">
        <v>113</v>
      </c>
      <c r="B107" s="1">
        <v>8</v>
      </c>
      <c r="C107" s="1">
        <v>8</v>
      </c>
      <c r="D107" s="1">
        <v>6</v>
      </c>
      <c r="E107" s="1">
        <v>6</v>
      </c>
      <c r="F107" s="1">
        <v>45</v>
      </c>
      <c r="G107" s="1">
        <v>3</v>
      </c>
      <c r="H107" s="1">
        <v>4</v>
      </c>
      <c r="I107" s="1">
        <f t="shared" si="6"/>
        <v>7</v>
      </c>
      <c r="J107" s="1">
        <f>_xlfn.XLOOKUP(A107,'[1]Point of Sale Analysis'!$A:$A,'[1]Point of Sale Analysis'!$B:$B,"not found",0)</f>
        <v>5</v>
      </c>
      <c r="K107" s="1">
        <f>ABS(J107-I107)</f>
        <v>2</v>
      </c>
    </row>
    <row r="108" spans="1:11" hidden="1" x14ac:dyDescent="0.3">
      <c r="A108" t="s">
        <v>114</v>
      </c>
      <c r="B108">
        <v>1</v>
      </c>
      <c r="C108">
        <v>4</v>
      </c>
      <c r="D108">
        <v>3</v>
      </c>
      <c r="E108">
        <v>4</v>
      </c>
      <c r="F108">
        <v>43</v>
      </c>
      <c r="G108">
        <v>5</v>
      </c>
      <c r="H108">
        <v>0</v>
      </c>
      <c r="I108">
        <f t="shared" si="6"/>
        <v>5</v>
      </c>
      <c r="J108" t="str">
        <f>_xlfn.XLOOKUP(A108,'[1]Point of Sale Analysis'!$A:$A,'[1]Point of Sale Analysis'!$B:$B,"not found",0)</f>
        <v>not found</v>
      </c>
    </row>
    <row r="109" spans="1:11" x14ac:dyDescent="0.3">
      <c r="A109" s="1" t="s">
        <v>115</v>
      </c>
      <c r="B109" s="1">
        <v>7</v>
      </c>
      <c r="C109" s="1">
        <v>4</v>
      </c>
      <c r="D109" s="1">
        <v>9</v>
      </c>
      <c r="E109" s="1">
        <v>3</v>
      </c>
      <c r="F109" s="1">
        <v>65</v>
      </c>
      <c r="G109" s="1">
        <v>5</v>
      </c>
      <c r="H109" s="1">
        <v>0</v>
      </c>
      <c r="I109" s="1">
        <f t="shared" si="6"/>
        <v>5</v>
      </c>
      <c r="J109" s="1">
        <f>_xlfn.XLOOKUP(A109,'[1]Point of Sale Analysis'!$A:$A,'[1]Point of Sale Analysis'!$B:$B,"not found",0)</f>
        <v>1</v>
      </c>
      <c r="K109" s="1">
        <f t="shared" ref="K109:K111" si="13">ABS(J109-I109)</f>
        <v>4</v>
      </c>
    </row>
    <row r="110" spans="1:11" x14ac:dyDescent="0.3">
      <c r="A110" s="1" t="s">
        <v>116</v>
      </c>
      <c r="B110" s="1">
        <v>11</v>
      </c>
      <c r="C110" s="1">
        <v>14</v>
      </c>
      <c r="D110" s="1">
        <v>6</v>
      </c>
      <c r="E110" s="1">
        <v>10</v>
      </c>
      <c r="F110" s="1">
        <v>121</v>
      </c>
      <c r="G110" s="1">
        <v>8</v>
      </c>
      <c r="H110" s="1">
        <v>2</v>
      </c>
      <c r="I110" s="1">
        <f t="shared" si="6"/>
        <v>10</v>
      </c>
      <c r="J110" s="1">
        <f>_xlfn.XLOOKUP(A110,'[1]Point of Sale Analysis'!$A:$A,'[1]Point of Sale Analysis'!$B:$B,"not found",0)</f>
        <v>8</v>
      </c>
      <c r="K110" s="1">
        <f t="shared" si="13"/>
        <v>2</v>
      </c>
    </row>
    <row r="111" spans="1:11" x14ac:dyDescent="0.3">
      <c r="A111" s="1" t="s">
        <v>117</v>
      </c>
      <c r="B111" s="1">
        <v>14</v>
      </c>
      <c r="C111" s="1">
        <v>7</v>
      </c>
      <c r="D111" s="1">
        <v>11</v>
      </c>
      <c r="E111" s="1">
        <v>4</v>
      </c>
      <c r="F111" s="1">
        <v>80</v>
      </c>
      <c r="G111" s="1">
        <v>10</v>
      </c>
      <c r="H111" s="1">
        <v>0</v>
      </c>
      <c r="I111" s="1">
        <f t="shared" si="6"/>
        <v>10</v>
      </c>
      <c r="J111" s="1">
        <f>_xlfn.XLOOKUP(A111,'[1]Point of Sale Analysis'!$A:$A,'[1]Point of Sale Analysis'!$B:$B,"not found",0)</f>
        <v>5</v>
      </c>
      <c r="K111" s="1">
        <f t="shared" si="13"/>
        <v>5</v>
      </c>
    </row>
    <row r="112" spans="1:11" hidden="1" x14ac:dyDescent="0.3">
      <c r="A112" t="s">
        <v>118</v>
      </c>
      <c r="B112">
        <v>2</v>
      </c>
      <c r="C112">
        <v>7</v>
      </c>
      <c r="D112">
        <v>6</v>
      </c>
      <c r="F112">
        <v>0</v>
      </c>
      <c r="G112">
        <v>3</v>
      </c>
      <c r="H112">
        <v>3</v>
      </c>
      <c r="I112">
        <f t="shared" si="6"/>
        <v>6</v>
      </c>
      <c r="J112" t="str">
        <f>_xlfn.XLOOKUP(A112,'[1]Point of Sale Analysis'!$A:$A,'[1]Point of Sale Analysis'!$B:$B,"not found",0)</f>
        <v>not found</v>
      </c>
    </row>
    <row r="113" spans="1:11" x14ac:dyDescent="0.3">
      <c r="A113" s="1" t="s">
        <v>119</v>
      </c>
      <c r="B113" s="1">
        <v>4</v>
      </c>
      <c r="C113" s="1">
        <v>9</v>
      </c>
      <c r="D113" s="1">
        <v>3</v>
      </c>
      <c r="E113" s="1">
        <v>6</v>
      </c>
      <c r="F113" s="1">
        <v>83</v>
      </c>
      <c r="G113" s="1">
        <v>6</v>
      </c>
      <c r="H113" s="1">
        <v>0</v>
      </c>
      <c r="I113" s="1">
        <f t="shared" si="6"/>
        <v>6</v>
      </c>
      <c r="J113" s="1">
        <f>_xlfn.XLOOKUP(A113,'[1]Point of Sale Analysis'!$A:$A,'[1]Point of Sale Analysis'!$B:$B,"not found",0)</f>
        <v>5</v>
      </c>
      <c r="K113" s="1">
        <f t="shared" ref="K113:K114" si="14">ABS(J113-I113)</f>
        <v>1</v>
      </c>
    </row>
    <row r="114" spans="1:11" x14ac:dyDescent="0.3">
      <c r="A114" s="1" t="s">
        <v>120</v>
      </c>
      <c r="B114" s="1">
        <v>3</v>
      </c>
      <c r="C114" s="1">
        <v>5</v>
      </c>
      <c r="D114" s="1">
        <v>3</v>
      </c>
      <c r="E114" s="1"/>
      <c r="F114" s="1">
        <v>7</v>
      </c>
      <c r="G114" s="1">
        <v>3</v>
      </c>
      <c r="H114" s="1">
        <v>0</v>
      </c>
      <c r="I114" s="1">
        <f t="shared" si="6"/>
        <v>3</v>
      </c>
      <c r="J114" s="1">
        <f>_xlfn.XLOOKUP(A114,'[1]Point of Sale Analysis'!$A:$A,'[1]Point of Sale Analysis'!$B:$B,"not found",0)</f>
        <v>1</v>
      </c>
      <c r="K114" s="1">
        <f t="shared" si="14"/>
        <v>2</v>
      </c>
    </row>
    <row r="115" spans="1:11" hidden="1" x14ac:dyDescent="0.3">
      <c r="A115" t="s">
        <v>121</v>
      </c>
      <c r="E115">
        <v>1</v>
      </c>
      <c r="F115">
        <v>26</v>
      </c>
      <c r="G115">
        <v>5</v>
      </c>
      <c r="H115">
        <v>0</v>
      </c>
      <c r="I115">
        <f t="shared" si="6"/>
        <v>5</v>
      </c>
      <c r="J115" t="str">
        <f>_xlfn.XLOOKUP(A115,'[1]Point of Sale Analysis'!$A:$A,'[1]Point of Sale Analysis'!$B:$B,"not found",0)</f>
        <v>not found</v>
      </c>
    </row>
    <row r="116" spans="1:11" hidden="1" x14ac:dyDescent="0.3">
      <c r="A116" t="s">
        <v>122</v>
      </c>
      <c r="B116">
        <v>2</v>
      </c>
      <c r="F116">
        <v>0</v>
      </c>
      <c r="G116">
        <v>0</v>
      </c>
      <c r="H116">
        <v>2</v>
      </c>
      <c r="I116">
        <f t="shared" si="6"/>
        <v>2</v>
      </c>
      <c r="J116" t="str">
        <f>_xlfn.XLOOKUP(A116,'[1]Point of Sale Analysis'!$A:$A,'[1]Point of Sale Analysis'!$B:$B,"not found",0)</f>
        <v>not found</v>
      </c>
    </row>
    <row r="117" spans="1:11" x14ac:dyDescent="0.3">
      <c r="A117" s="1" t="s">
        <v>123</v>
      </c>
      <c r="B117" s="1"/>
      <c r="C117" s="1"/>
      <c r="D117" s="1"/>
      <c r="E117" s="1">
        <v>2</v>
      </c>
      <c r="F117" s="1">
        <v>9</v>
      </c>
      <c r="G117" s="1">
        <v>2</v>
      </c>
      <c r="H117" s="1">
        <v>0</v>
      </c>
      <c r="I117" s="1">
        <f t="shared" si="6"/>
        <v>2</v>
      </c>
      <c r="J117" s="1">
        <f>_xlfn.XLOOKUP(A117,'[1]Point of Sale Analysis'!$A:$A,'[1]Point of Sale Analysis'!$B:$B,"not found",0)</f>
        <v>1</v>
      </c>
      <c r="K117" s="1">
        <f t="shared" ref="K117:K118" si="15">ABS(J117-I117)</f>
        <v>1</v>
      </c>
    </row>
    <row r="118" spans="1:11" x14ac:dyDescent="0.3">
      <c r="A118" s="1" t="s">
        <v>124</v>
      </c>
      <c r="B118" s="1">
        <v>4</v>
      </c>
      <c r="C118" s="1">
        <v>3</v>
      </c>
      <c r="D118" s="1">
        <v>2</v>
      </c>
      <c r="E118" s="1">
        <v>1</v>
      </c>
      <c r="F118" s="1">
        <v>0</v>
      </c>
      <c r="G118" s="1">
        <v>3</v>
      </c>
      <c r="H118" s="1">
        <v>0</v>
      </c>
      <c r="I118" s="1">
        <f t="shared" si="6"/>
        <v>3</v>
      </c>
      <c r="J118" s="1">
        <f>_xlfn.XLOOKUP(A118,'[1]Point of Sale Analysis'!$A:$A,'[1]Point of Sale Analysis'!$B:$B,"not found",0)</f>
        <v>3</v>
      </c>
      <c r="K118" s="1">
        <f t="shared" si="15"/>
        <v>0</v>
      </c>
    </row>
    <row r="119" spans="1:11" hidden="1" x14ac:dyDescent="0.3">
      <c r="A119" t="s">
        <v>125</v>
      </c>
      <c r="C119">
        <v>1</v>
      </c>
      <c r="D119">
        <v>2</v>
      </c>
      <c r="F119">
        <v>7</v>
      </c>
      <c r="G119">
        <v>2</v>
      </c>
      <c r="H119">
        <v>0</v>
      </c>
      <c r="I119">
        <f t="shared" si="6"/>
        <v>2</v>
      </c>
      <c r="J119" t="str">
        <f>_xlfn.XLOOKUP(A119,'[1]Point of Sale Analysis'!$A:$A,'[1]Point of Sale Analysis'!$B:$B,"not found",0)</f>
        <v>not found</v>
      </c>
    </row>
    <row r="120" spans="1:11" x14ac:dyDescent="0.3">
      <c r="A120" s="1" t="s">
        <v>126</v>
      </c>
      <c r="B120" s="1"/>
      <c r="C120" s="1"/>
      <c r="D120" s="1"/>
      <c r="E120" s="1">
        <v>3</v>
      </c>
      <c r="F120" s="1">
        <v>24</v>
      </c>
      <c r="G120" s="1">
        <v>1</v>
      </c>
      <c r="H120" s="1">
        <v>2</v>
      </c>
      <c r="I120" s="1">
        <f t="shared" si="6"/>
        <v>3</v>
      </c>
      <c r="J120" s="1">
        <f>_xlfn.XLOOKUP(A120,'[1]Point of Sale Analysis'!$A:$A,'[1]Point of Sale Analysis'!$B:$B,"not found",0)</f>
        <v>1</v>
      </c>
      <c r="K120" s="1">
        <f>ABS(J120-I120)</f>
        <v>2</v>
      </c>
    </row>
    <row r="121" spans="1:11" hidden="1" x14ac:dyDescent="0.3">
      <c r="A121" t="s">
        <v>127</v>
      </c>
      <c r="E121">
        <v>3</v>
      </c>
      <c r="F121">
        <v>19</v>
      </c>
      <c r="G121">
        <v>1</v>
      </c>
      <c r="H121">
        <v>2</v>
      </c>
      <c r="I121">
        <f t="shared" si="6"/>
        <v>3</v>
      </c>
      <c r="J121" t="str">
        <f>_xlfn.XLOOKUP(A121,'[1]Point of Sale Analysis'!$A:$A,'[1]Point of Sale Analysis'!$B:$B,"not found",0)</f>
        <v>not found</v>
      </c>
    </row>
    <row r="122" spans="1:11" x14ac:dyDescent="0.3">
      <c r="A122" s="1" t="s">
        <v>128</v>
      </c>
      <c r="B122" s="1">
        <v>2</v>
      </c>
      <c r="C122" s="1">
        <v>1</v>
      </c>
      <c r="D122" s="1">
        <v>2</v>
      </c>
      <c r="E122" s="1"/>
      <c r="F122" s="1">
        <v>9</v>
      </c>
      <c r="G122" s="1">
        <v>5</v>
      </c>
      <c r="H122" s="1">
        <v>0</v>
      </c>
      <c r="I122" s="1">
        <f t="shared" si="6"/>
        <v>5</v>
      </c>
      <c r="J122" s="1">
        <f>_xlfn.XLOOKUP(A122,'[1]Point of Sale Analysis'!$A:$A,'[1]Point of Sale Analysis'!$B:$B,"not found",0)</f>
        <v>1</v>
      </c>
      <c r="K122" s="1">
        <f t="shared" ref="K122:K123" si="16">ABS(J122-I122)</f>
        <v>4</v>
      </c>
    </row>
    <row r="123" spans="1:11" x14ac:dyDescent="0.3">
      <c r="A123" s="1" t="s">
        <v>129</v>
      </c>
      <c r="B123" s="1">
        <v>3</v>
      </c>
      <c r="C123" s="1">
        <v>2</v>
      </c>
      <c r="D123" s="1">
        <v>1</v>
      </c>
      <c r="E123" s="1">
        <v>2</v>
      </c>
      <c r="F123" s="1">
        <v>35</v>
      </c>
      <c r="G123" s="1">
        <v>3</v>
      </c>
      <c r="H123" s="1">
        <v>0</v>
      </c>
      <c r="I123" s="1">
        <f t="shared" si="6"/>
        <v>3</v>
      </c>
      <c r="J123" s="1">
        <f>_xlfn.XLOOKUP(A123,'[1]Point of Sale Analysis'!$A:$A,'[1]Point of Sale Analysis'!$B:$B,"not found",0)</f>
        <v>2</v>
      </c>
      <c r="K123" s="1">
        <f t="shared" si="16"/>
        <v>1</v>
      </c>
    </row>
    <row r="124" spans="1:11" hidden="1" x14ac:dyDescent="0.3">
      <c r="A124" t="s">
        <v>130</v>
      </c>
      <c r="E124">
        <v>1</v>
      </c>
      <c r="F124">
        <v>39</v>
      </c>
      <c r="G124">
        <v>2</v>
      </c>
      <c r="H124">
        <v>0</v>
      </c>
      <c r="I124">
        <f t="shared" si="6"/>
        <v>2</v>
      </c>
      <c r="J124" t="str">
        <f>_xlfn.XLOOKUP(A124,'[1]Point of Sale Analysis'!$A:$A,'[1]Point of Sale Analysis'!$B:$B,"not found",0)</f>
        <v>not found</v>
      </c>
    </row>
    <row r="125" spans="1:11" x14ac:dyDescent="0.3">
      <c r="A125" s="1" t="s">
        <v>131</v>
      </c>
      <c r="B125" s="1">
        <v>2</v>
      </c>
      <c r="C125" s="1">
        <v>2</v>
      </c>
      <c r="D125" s="1">
        <v>7</v>
      </c>
      <c r="E125" s="1">
        <v>2</v>
      </c>
      <c r="F125" s="1">
        <v>47</v>
      </c>
      <c r="G125" s="1">
        <v>5</v>
      </c>
      <c r="H125" s="1">
        <v>0</v>
      </c>
      <c r="I125" s="1">
        <f t="shared" si="6"/>
        <v>5</v>
      </c>
      <c r="J125" s="1">
        <f>_xlfn.XLOOKUP(A125,'[1]Point of Sale Analysis'!$A:$A,'[1]Point of Sale Analysis'!$B:$B,"not found",0)</f>
        <v>3</v>
      </c>
      <c r="K125" s="1">
        <f t="shared" ref="K125:K128" si="17">ABS(J125-I125)</f>
        <v>2</v>
      </c>
    </row>
    <row r="126" spans="1:11" x14ac:dyDescent="0.3">
      <c r="A126" s="1" t="s">
        <v>132</v>
      </c>
      <c r="B126" s="1"/>
      <c r="C126" s="1"/>
      <c r="D126" s="1"/>
      <c r="E126" s="1">
        <v>2</v>
      </c>
      <c r="F126" s="1">
        <v>36</v>
      </c>
      <c r="G126" s="1">
        <v>4</v>
      </c>
      <c r="H126" s="1">
        <v>0</v>
      </c>
      <c r="I126" s="1">
        <f t="shared" si="6"/>
        <v>4</v>
      </c>
      <c r="J126" s="1">
        <f>_xlfn.XLOOKUP(A126,'[1]Point of Sale Analysis'!$A:$A,'[1]Point of Sale Analysis'!$B:$B,"not found",0)</f>
        <v>2</v>
      </c>
      <c r="K126" s="1">
        <f t="shared" si="17"/>
        <v>2</v>
      </c>
    </row>
    <row r="127" spans="1:11" x14ac:dyDescent="0.3">
      <c r="A127" s="1" t="s">
        <v>133</v>
      </c>
      <c r="B127" s="1">
        <v>2</v>
      </c>
      <c r="C127" s="1">
        <v>5</v>
      </c>
      <c r="D127" s="1">
        <v>3</v>
      </c>
      <c r="E127" s="1"/>
      <c r="F127" s="1">
        <v>35</v>
      </c>
      <c r="G127" s="1">
        <v>4</v>
      </c>
      <c r="H127" s="1">
        <v>0</v>
      </c>
      <c r="I127" s="1">
        <f t="shared" si="6"/>
        <v>4</v>
      </c>
      <c r="J127" s="1">
        <f>_xlfn.XLOOKUP(A127,'[1]Point of Sale Analysis'!$A:$A,'[1]Point of Sale Analysis'!$B:$B,"not found",0)</f>
        <v>4</v>
      </c>
      <c r="K127" s="1">
        <f t="shared" si="17"/>
        <v>0</v>
      </c>
    </row>
    <row r="128" spans="1:11" x14ac:dyDescent="0.3">
      <c r="A128" s="1" t="s">
        <v>134</v>
      </c>
      <c r="B128" s="1"/>
      <c r="C128" s="1"/>
      <c r="D128" s="1"/>
      <c r="E128" s="1">
        <v>2</v>
      </c>
      <c r="F128" s="1">
        <v>7</v>
      </c>
      <c r="G128" s="1">
        <v>1</v>
      </c>
      <c r="H128" s="1">
        <v>1</v>
      </c>
      <c r="I128" s="1">
        <f t="shared" si="6"/>
        <v>2</v>
      </c>
      <c r="J128" s="1">
        <f>_xlfn.XLOOKUP(A128,'[1]Point of Sale Analysis'!$A:$A,'[1]Point of Sale Analysis'!$B:$B,"not found",0)</f>
        <v>1</v>
      </c>
      <c r="K128" s="1">
        <f t="shared" si="17"/>
        <v>1</v>
      </c>
    </row>
    <row r="129" spans="1:11" hidden="1" x14ac:dyDescent="0.3">
      <c r="A129" t="s">
        <v>135</v>
      </c>
      <c r="E129">
        <v>2</v>
      </c>
      <c r="F129">
        <v>1</v>
      </c>
      <c r="G129">
        <v>1</v>
      </c>
      <c r="H129">
        <v>1</v>
      </c>
      <c r="I129">
        <f t="shared" si="6"/>
        <v>2</v>
      </c>
      <c r="J129" t="str">
        <f>_xlfn.XLOOKUP(A129,'[1]Point of Sale Analysis'!$A:$A,'[1]Point of Sale Analysis'!$B:$B,"not found",0)</f>
        <v>not found</v>
      </c>
    </row>
    <row r="130" spans="1:11" x14ac:dyDescent="0.3">
      <c r="A130" s="1" t="s">
        <v>136</v>
      </c>
      <c r="B130" s="1">
        <v>3</v>
      </c>
      <c r="C130" s="1">
        <v>4</v>
      </c>
      <c r="D130" s="1">
        <v>3</v>
      </c>
      <c r="E130" s="1">
        <v>4</v>
      </c>
      <c r="F130" s="1">
        <v>51</v>
      </c>
      <c r="G130" s="1">
        <v>4</v>
      </c>
      <c r="H130" s="1">
        <v>0</v>
      </c>
      <c r="I130" s="1">
        <f t="shared" si="6"/>
        <v>4</v>
      </c>
      <c r="J130" s="1">
        <f>_xlfn.XLOOKUP(A130,'[1]Point of Sale Analysis'!$A:$A,'[1]Point of Sale Analysis'!$B:$B,"not found",0)</f>
        <v>3</v>
      </c>
      <c r="K130" s="1">
        <f t="shared" ref="K130:K131" si="18">ABS(J130-I130)</f>
        <v>1</v>
      </c>
    </row>
    <row r="131" spans="1:11" x14ac:dyDescent="0.3">
      <c r="A131" s="1" t="s">
        <v>137</v>
      </c>
      <c r="B131" s="1">
        <v>6</v>
      </c>
      <c r="C131" s="1">
        <v>6</v>
      </c>
      <c r="D131" s="1">
        <v>3</v>
      </c>
      <c r="E131" s="1">
        <v>2</v>
      </c>
      <c r="F131" s="1">
        <v>13</v>
      </c>
      <c r="G131" s="1">
        <v>2</v>
      </c>
      <c r="H131" s="1">
        <v>2</v>
      </c>
      <c r="I131" s="1">
        <f t="shared" ref="I131:I194" si="19">G131+H131</f>
        <v>4</v>
      </c>
      <c r="J131" s="1">
        <f>_xlfn.XLOOKUP(A131,'[1]Point of Sale Analysis'!$A:$A,'[1]Point of Sale Analysis'!$B:$B,"not found",0)</f>
        <v>1</v>
      </c>
      <c r="K131" s="1">
        <f t="shared" si="18"/>
        <v>3</v>
      </c>
    </row>
    <row r="132" spans="1:11" hidden="1" x14ac:dyDescent="0.3">
      <c r="A132" t="s">
        <v>138</v>
      </c>
      <c r="B132">
        <v>3</v>
      </c>
      <c r="D132">
        <v>2</v>
      </c>
      <c r="E132">
        <v>1</v>
      </c>
      <c r="F132">
        <v>7</v>
      </c>
      <c r="G132">
        <v>3</v>
      </c>
      <c r="H132">
        <v>0</v>
      </c>
      <c r="I132">
        <f t="shared" si="19"/>
        <v>3</v>
      </c>
      <c r="J132" t="str">
        <f>_xlfn.XLOOKUP(A132,'[1]Point of Sale Analysis'!$A:$A,'[1]Point of Sale Analysis'!$B:$B,"not found",0)</f>
        <v>not found</v>
      </c>
    </row>
    <row r="133" spans="1:11" x14ac:dyDescent="0.3">
      <c r="A133" s="1" t="s">
        <v>139</v>
      </c>
      <c r="B133" s="1">
        <v>3</v>
      </c>
      <c r="C133" s="1">
        <v>2</v>
      </c>
      <c r="D133" s="1">
        <v>4</v>
      </c>
      <c r="E133" s="1">
        <v>1</v>
      </c>
      <c r="F133" s="1">
        <v>0</v>
      </c>
      <c r="G133" s="1">
        <v>2</v>
      </c>
      <c r="H133" s="1">
        <v>0</v>
      </c>
      <c r="I133" s="1">
        <f t="shared" si="19"/>
        <v>2</v>
      </c>
      <c r="J133" s="1">
        <f>_xlfn.XLOOKUP(A133,'[1]Point of Sale Analysis'!$A:$A,'[1]Point of Sale Analysis'!$B:$B,"not found",0)</f>
        <v>3</v>
      </c>
      <c r="K133" s="1">
        <f t="shared" ref="K133:K134" si="20">ABS(J133-I133)</f>
        <v>1</v>
      </c>
    </row>
    <row r="134" spans="1:11" x14ac:dyDescent="0.3">
      <c r="A134" s="1" t="s">
        <v>140</v>
      </c>
      <c r="B134" s="1">
        <v>2</v>
      </c>
      <c r="C134" s="1">
        <v>2</v>
      </c>
      <c r="D134" s="1">
        <v>5</v>
      </c>
      <c r="E134" s="1">
        <v>2</v>
      </c>
      <c r="F134" s="1">
        <v>6</v>
      </c>
      <c r="G134" s="1">
        <v>1</v>
      </c>
      <c r="H134" s="1">
        <v>1</v>
      </c>
      <c r="I134" s="1">
        <f t="shared" si="19"/>
        <v>2</v>
      </c>
      <c r="J134" s="1">
        <f>_xlfn.XLOOKUP(A134,'[1]Point of Sale Analysis'!$A:$A,'[1]Point of Sale Analysis'!$B:$B,"not found",0)</f>
        <v>2</v>
      </c>
      <c r="K134" s="1">
        <f t="shared" si="20"/>
        <v>0</v>
      </c>
    </row>
    <row r="135" spans="1:11" hidden="1" x14ac:dyDescent="0.3">
      <c r="A135" t="s">
        <v>141</v>
      </c>
      <c r="B135">
        <v>2</v>
      </c>
      <c r="C135">
        <v>4</v>
      </c>
      <c r="F135">
        <v>7</v>
      </c>
      <c r="G135">
        <v>3</v>
      </c>
      <c r="H135">
        <v>0</v>
      </c>
      <c r="I135">
        <f t="shared" si="19"/>
        <v>3</v>
      </c>
      <c r="J135" t="str">
        <f>_xlfn.XLOOKUP(A135,'[1]Point of Sale Analysis'!$A:$A,'[1]Point of Sale Analysis'!$B:$B,"not found",0)</f>
        <v>not found</v>
      </c>
    </row>
    <row r="136" spans="1:11" hidden="1" x14ac:dyDescent="0.3">
      <c r="A136" t="s">
        <v>142</v>
      </c>
      <c r="E136">
        <v>1</v>
      </c>
      <c r="F136">
        <v>3</v>
      </c>
      <c r="G136">
        <v>3</v>
      </c>
      <c r="H136">
        <v>0</v>
      </c>
      <c r="I136">
        <f t="shared" si="19"/>
        <v>3</v>
      </c>
      <c r="J136" t="str">
        <f>_xlfn.XLOOKUP(A136,'[1]Point of Sale Analysis'!$A:$A,'[1]Point of Sale Analysis'!$B:$B,"not found",0)</f>
        <v>not found</v>
      </c>
    </row>
    <row r="137" spans="1:11" hidden="1" x14ac:dyDescent="0.3">
      <c r="A137" t="s">
        <v>143</v>
      </c>
      <c r="E137">
        <v>1</v>
      </c>
      <c r="F137">
        <v>1</v>
      </c>
      <c r="G137">
        <v>3</v>
      </c>
      <c r="H137">
        <v>0</v>
      </c>
      <c r="I137">
        <f t="shared" si="19"/>
        <v>3</v>
      </c>
      <c r="J137" t="str">
        <f>_xlfn.XLOOKUP(A137,'[1]Point of Sale Analysis'!$A:$A,'[1]Point of Sale Analysis'!$B:$B,"not found",0)</f>
        <v>not found</v>
      </c>
    </row>
    <row r="138" spans="1:11" hidden="1" x14ac:dyDescent="0.3">
      <c r="A138" t="s">
        <v>144</v>
      </c>
      <c r="E138">
        <v>1</v>
      </c>
      <c r="F138">
        <v>4</v>
      </c>
      <c r="G138">
        <v>1</v>
      </c>
      <c r="H138">
        <v>0</v>
      </c>
      <c r="I138">
        <f t="shared" si="19"/>
        <v>1</v>
      </c>
      <c r="J138" t="str">
        <f>_xlfn.XLOOKUP(A138,'[1]Point of Sale Analysis'!$A:$A,'[1]Point of Sale Analysis'!$B:$B,"not found",0)</f>
        <v>not found</v>
      </c>
    </row>
    <row r="139" spans="1:11" hidden="1" x14ac:dyDescent="0.3">
      <c r="A139" t="s">
        <v>145</v>
      </c>
      <c r="B139">
        <v>2</v>
      </c>
      <c r="C139">
        <v>6</v>
      </c>
      <c r="D139">
        <v>2</v>
      </c>
      <c r="E139">
        <v>3</v>
      </c>
      <c r="F139">
        <v>13</v>
      </c>
      <c r="G139">
        <v>-1</v>
      </c>
      <c r="H139">
        <v>3</v>
      </c>
      <c r="I139">
        <f t="shared" si="19"/>
        <v>2</v>
      </c>
      <c r="J139" t="str">
        <f>_xlfn.XLOOKUP(A139,'[1]Point of Sale Analysis'!$A:$A,'[1]Point of Sale Analysis'!$B:$B,"not found",0)</f>
        <v>not found</v>
      </c>
    </row>
    <row r="140" spans="1:11" hidden="1" x14ac:dyDescent="0.3">
      <c r="A140" t="s">
        <v>146</v>
      </c>
      <c r="D140">
        <v>1</v>
      </c>
      <c r="F140">
        <v>7</v>
      </c>
      <c r="G140">
        <v>3</v>
      </c>
      <c r="H140">
        <v>0</v>
      </c>
      <c r="I140">
        <f t="shared" si="19"/>
        <v>3</v>
      </c>
      <c r="J140" t="str">
        <f>_xlfn.XLOOKUP(A140,'[1]Point of Sale Analysis'!$A:$A,'[1]Point of Sale Analysis'!$B:$B,"not found",0)</f>
        <v>not found</v>
      </c>
    </row>
    <row r="141" spans="1:11" x14ac:dyDescent="0.3">
      <c r="A141" s="1" t="s">
        <v>147</v>
      </c>
      <c r="B141" s="1"/>
      <c r="C141" s="1"/>
      <c r="D141" s="1"/>
      <c r="E141" s="1">
        <v>1</v>
      </c>
      <c r="F141" s="1">
        <v>3</v>
      </c>
      <c r="G141" s="1">
        <v>1</v>
      </c>
      <c r="H141" s="1">
        <v>0</v>
      </c>
      <c r="I141" s="1">
        <f t="shared" si="19"/>
        <v>1</v>
      </c>
      <c r="J141" s="1">
        <f>_xlfn.XLOOKUP(A141,'[1]Point of Sale Analysis'!$A:$A,'[1]Point of Sale Analysis'!$B:$B,"not found",0)</f>
        <v>1</v>
      </c>
      <c r="K141" s="1">
        <f t="shared" ref="K141:K142" si="21">ABS(J141-I141)</f>
        <v>0</v>
      </c>
    </row>
    <row r="142" spans="1:11" x14ac:dyDescent="0.3">
      <c r="A142" s="1" t="s">
        <v>148</v>
      </c>
      <c r="B142" s="1">
        <v>3</v>
      </c>
      <c r="C142" s="1">
        <v>4</v>
      </c>
      <c r="D142" s="1">
        <v>3</v>
      </c>
      <c r="E142" s="1">
        <v>2</v>
      </c>
      <c r="F142" s="1">
        <v>6</v>
      </c>
      <c r="G142" s="1">
        <v>1</v>
      </c>
      <c r="H142" s="1">
        <v>2</v>
      </c>
      <c r="I142" s="1">
        <f t="shared" si="19"/>
        <v>3</v>
      </c>
      <c r="J142" s="1">
        <f>_xlfn.XLOOKUP(A142,'[1]Point of Sale Analysis'!$A:$A,'[1]Point of Sale Analysis'!$B:$B,"not found",0)</f>
        <v>1</v>
      </c>
      <c r="K142" s="1">
        <f t="shared" si="21"/>
        <v>2</v>
      </c>
    </row>
    <row r="143" spans="1:11" hidden="1" x14ac:dyDescent="0.3">
      <c r="A143" t="s">
        <v>149</v>
      </c>
      <c r="B143">
        <v>1</v>
      </c>
      <c r="C143">
        <v>5</v>
      </c>
      <c r="D143">
        <v>2</v>
      </c>
      <c r="E143">
        <v>1</v>
      </c>
      <c r="F143">
        <v>4</v>
      </c>
      <c r="G143">
        <v>1</v>
      </c>
      <c r="H143">
        <v>0</v>
      </c>
      <c r="I143">
        <f t="shared" si="19"/>
        <v>1</v>
      </c>
      <c r="J143" t="str">
        <f>_xlfn.XLOOKUP(A143,'[1]Point of Sale Analysis'!$A:$A,'[1]Point of Sale Analysis'!$B:$B,"not found",0)</f>
        <v>not found</v>
      </c>
    </row>
    <row r="144" spans="1:11" hidden="1" x14ac:dyDescent="0.3">
      <c r="A144" t="s">
        <v>150</v>
      </c>
      <c r="B144">
        <v>8</v>
      </c>
      <c r="C144">
        <v>11</v>
      </c>
      <c r="D144">
        <v>8</v>
      </c>
      <c r="F144">
        <v>0</v>
      </c>
      <c r="G144">
        <v>1</v>
      </c>
      <c r="H144">
        <v>7</v>
      </c>
      <c r="I144">
        <f t="shared" si="19"/>
        <v>8</v>
      </c>
      <c r="J144" t="str">
        <f>_xlfn.XLOOKUP(A144,'[1]Point of Sale Analysis'!$A:$A,'[1]Point of Sale Analysis'!$B:$B,"not found",0)</f>
        <v>not found</v>
      </c>
    </row>
    <row r="145" spans="1:11" x14ac:dyDescent="0.3">
      <c r="A145" s="1" t="s">
        <v>151</v>
      </c>
      <c r="B145" s="1">
        <v>20</v>
      </c>
      <c r="C145" s="1">
        <v>14</v>
      </c>
      <c r="D145" s="1">
        <v>27</v>
      </c>
      <c r="E145" s="1">
        <v>18</v>
      </c>
      <c r="F145" s="1">
        <v>40</v>
      </c>
      <c r="G145" s="1">
        <v>6</v>
      </c>
      <c r="H145" s="1">
        <v>13</v>
      </c>
      <c r="I145" s="1">
        <f t="shared" si="19"/>
        <v>19</v>
      </c>
      <c r="J145" s="1">
        <f>_xlfn.XLOOKUP(A145,'[1]Point of Sale Analysis'!$A:$A,'[1]Point of Sale Analysis'!$B:$B,"not found",0)</f>
        <v>21</v>
      </c>
      <c r="K145" s="1">
        <f>ABS(J145-I145)</f>
        <v>2</v>
      </c>
    </row>
    <row r="146" spans="1:11" hidden="1" x14ac:dyDescent="0.3">
      <c r="A146" t="s">
        <v>152</v>
      </c>
      <c r="B146">
        <v>3</v>
      </c>
      <c r="C146">
        <v>3</v>
      </c>
      <c r="D146">
        <v>2</v>
      </c>
      <c r="F146">
        <v>13</v>
      </c>
      <c r="G146">
        <v>4</v>
      </c>
      <c r="H146">
        <v>0</v>
      </c>
      <c r="I146">
        <f t="shared" si="19"/>
        <v>4</v>
      </c>
      <c r="J146" t="str">
        <f>_xlfn.XLOOKUP(A146,'[1]Point of Sale Analysis'!$A:$A,'[1]Point of Sale Analysis'!$B:$B,"not found",0)</f>
        <v>not found</v>
      </c>
    </row>
    <row r="147" spans="1:11" x14ac:dyDescent="0.3">
      <c r="A147" s="1" t="s">
        <v>153</v>
      </c>
      <c r="B147" s="1">
        <v>4</v>
      </c>
      <c r="C147" s="1">
        <v>4</v>
      </c>
      <c r="D147" s="1">
        <v>2</v>
      </c>
      <c r="E147" s="1">
        <v>1</v>
      </c>
      <c r="F147" s="1">
        <v>23</v>
      </c>
      <c r="G147" s="1">
        <v>-1</v>
      </c>
      <c r="H147" s="1">
        <v>4</v>
      </c>
      <c r="I147" s="1">
        <f t="shared" si="19"/>
        <v>3</v>
      </c>
      <c r="J147" s="1">
        <f>_xlfn.XLOOKUP(A147,'[1]Point of Sale Analysis'!$A:$A,'[1]Point of Sale Analysis'!$B:$B,"not found",0)</f>
        <v>4</v>
      </c>
      <c r="K147" s="1">
        <f t="shared" ref="K147:K153" si="22">ABS(J147-I147)</f>
        <v>1</v>
      </c>
    </row>
    <row r="148" spans="1:11" x14ac:dyDescent="0.3">
      <c r="A148" s="1" t="s">
        <v>154</v>
      </c>
      <c r="B148" s="1">
        <v>1</v>
      </c>
      <c r="C148" s="1">
        <v>3</v>
      </c>
      <c r="D148" s="1">
        <v>1</v>
      </c>
      <c r="E148" s="1">
        <v>2</v>
      </c>
      <c r="F148" s="1">
        <v>1</v>
      </c>
      <c r="G148" s="1">
        <v>1</v>
      </c>
      <c r="H148" s="1">
        <v>0</v>
      </c>
      <c r="I148" s="1">
        <f t="shared" si="19"/>
        <v>1</v>
      </c>
      <c r="J148" s="1">
        <f>_xlfn.XLOOKUP(A148,'[1]Point of Sale Analysis'!$A:$A,'[1]Point of Sale Analysis'!$B:$B,"not found",0)</f>
        <v>3</v>
      </c>
      <c r="K148" s="1">
        <f t="shared" si="22"/>
        <v>2</v>
      </c>
    </row>
    <row r="149" spans="1:11" x14ac:dyDescent="0.3">
      <c r="A149" s="1" t="s">
        <v>155</v>
      </c>
      <c r="B149" s="1"/>
      <c r="C149" s="1"/>
      <c r="D149" s="1"/>
      <c r="E149" s="1">
        <v>3</v>
      </c>
      <c r="F149" s="1">
        <v>12</v>
      </c>
      <c r="G149" s="1">
        <v>5</v>
      </c>
      <c r="H149" s="1">
        <v>0</v>
      </c>
      <c r="I149" s="1">
        <f t="shared" si="19"/>
        <v>5</v>
      </c>
      <c r="J149" s="1">
        <f>_xlfn.XLOOKUP(A149,'[1]Point of Sale Analysis'!$A:$A,'[1]Point of Sale Analysis'!$B:$B,"not found",0)</f>
        <v>3</v>
      </c>
      <c r="K149" s="1">
        <f t="shared" si="22"/>
        <v>2</v>
      </c>
    </row>
    <row r="150" spans="1:11" x14ac:dyDescent="0.3">
      <c r="A150" s="1" t="s">
        <v>156</v>
      </c>
      <c r="B150" s="1"/>
      <c r="C150" s="1"/>
      <c r="D150" s="1"/>
      <c r="E150" s="1">
        <v>2</v>
      </c>
      <c r="F150" s="1">
        <v>14</v>
      </c>
      <c r="G150" s="1">
        <v>4</v>
      </c>
      <c r="H150" s="1">
        <v>0</v>
      </c>
      <c r="I150" s="1">
        <f t="shared" si="19"/>
        <v>4</v>
      </c>
      <c r="J150" s="1">
        <f>_xlfn.XLOOKUP(A150,'[1]Point of Sale Analysis'!$A:$A,'[1]Point of Sale Analysis'!$B:$B,"not found",0)</f>
        <v>2</v>
      </c>
      <c r="K150" s="1">
        <f t="shared" si="22"/>
        <v>2</v>
      </c>
    </row>
    <row r="151" spans="1:11" x14ac:dyDescent="0.3">
      <c r="A151" s="1" t="s">
        <v>157</v>
      </c>
      <c r="B151" s="1"/>
      <c r="C151" s="1"/>
      <c r="D151" s="1"/>
      <c r="E151" s="1">
        <v>1</v>
      </c>
      <c r="F151" s="1">
        <v>10</v>
      </c>
      <c r="G151" s="1">
        <v>2</v>
      </c>
      <c r="H151" s="1">
        <v>0</v>
      </c>
      <c r="I151" s="1">
        <f t="shared" si="19"/>
        <v>2</v>
      </c>
      <c r="J151" s="1">
        <f>_xlfn.XLOOKUP(A151,'[1]Point of Sale Analysis'!$A:$A,'[1]Point of Sale Analysis'!$B:$B,"not found",0)</f>
        <v>3</v>
      </c>
      <c r="K151" s="1">
        <f t="shared" si="22"/>
        <v>1</v>
      </c>
    </row>
    <row r="152" spans="1:11" x14ac:dyDescent="0.3">
      <c r="A152" s="1" t="s">
        <v>158</v>
      </c>
      <c r="B152" s="1"/>
      <c r="C152" s="1"/>
      <c r="D152" s="1"/>
      <c r="E152" s="1">
        <v>4</v>
      </c>
      <c r="F152" s="1">
        <v>13</v>
      </c>
      <c r="G152" s="1">
        <v>4</v>
      </c>
      <c r="H152" s="1">
        <v>0</v>
      </c>
      <c r="I152" s="1">
        <f t="shared" si="19"/>
        <v>4</v>
      </c>
      <c r="J152" s="1">
        <f>_xlfn.XLOOKUP(A152,'[1]Point of Sale Analysis'!$A:$A,'[1]Point of Sale Analysis'!$B:$B,"not found",0)</f>
        <v>2</v>
      </c>
      <c r="K152" s="1">
        <f t="shared" si="22"/>
        <v>2</v>
      </c>
    </row>
    <row r="153" spans="1:11" x14ac:dyDescent="0.3">
      <c r="A153" s="1" t="s">
        <v>159</v>
      </c>
      <c r="B153" s="1">
        <v>1</v>
      </c>
      <c r="C153" s="1"/>
      <c r="D153" s="1"/>
      <c r="E153" s="1"/>
      <c r="F153" s="1">
        <v>12</v>
      </c>
      <c r="G153" s="1">
        <v>5</v>
      </c>
      <c r="H153" s="1">
        <v>0</v>
      </c>
      <c r="I153" s="1">
        <f t="shared" si="19"/>
        <v>5</v>
      </c>
      <c r="J153" s="1">
        <f>_xlfn.XLOOKUP(A153,'[1]Point of Sale Analysis'!$A:$A,'[1]Point of Sale Analysis'!$B:$B,"not found",0)</f>
        <v>1</v>
      </c>
      <c r="K153" s="1">
        <f t="shared" si="22"/>
        <v>4</v>
      </c>
    </row>
    <row r="154" spans="1:11" hidden="1" x14ac:dyDescent="0.3">
      <c r="A154" t="s">
        <v>160</v>
      </c>
      <c r="B154">
        <v>3</v>
      </c>
      <c r="C154">
        <v>3</v>
      </c>
      <c r="D154">
        <v>1</v>
      </c>
      <c r="F154">
        <v>12</v>
      </c>
      <c r="G154">
        <v>6</v>
      </c>
      <c r="H154">
        <v>0</v>
      </c>
      <c r="I154">
        <f t="shared" si="19"/>
        <v>6</v>
      </c>
      <c r="J154" t="str">
        <f>_xlfn.XLOOKUP(A154,'[1]Point of Sale Analysis'!$A:$A,'[1]Point of Sale Analysis'!$B:$B,"not found",0)</f>
        <v>not found</v>
      </c>
    </row>
    <row r="155" spans="1:11" x14ac:dyDescent="0.3">
      <c r="A155" s="1" t="s">
        <v>161</v>
      </c>
      <c r="B155" s="1">
        <v>9</v>
      </c>
      <c r="C155" s="1">
        <v>7</v>
      </c>
      <c r="D155" s="1">
        <v>9</v>
      </c>
      <c r="E155" s="1">
        <v>6</v>
      </c>
      <c r="F155" s="1">
        <v>109</v>
      </c>
      <c r="G155" s="1">
        <v>17</v>
      </c>
      <c r="H155" s="1">
        <v>0</v>
      </c>
      <c r="I155" s="1">
        <f t="shared" si="19"/>
        <v>17</v>
      </c>
      <c r="J155" s="1">
        <f>_xlfn.XLOOKUP(A155,'[1]Point of Sale Analysis'!$A:$A,'[1]Point of Sale Analysis'!$B:$B,"not found",0)</f>
        <v>14</v>
      </c>
      <c r="K155" s="1">
        <f>ABS(J155-I155)</f>
        <v>3</v>
      </c>
    </row>
    <row r="156" spans="1:11" hidden="1" x14ac:dyDescent="0.3">
      <c r="A156" t="s">
        <v>162</v>
      </c>
      <c r="B156">
        <v>1</v>
      </c>
      <c r="C156">
        <v>1</v>
      </c>
      <c r="D156">
        <v>3</v>
      </c>
      <c r="F156">
        <v>47</v>
      </c>
      <c r="G156">
        <v>4</v>
      </c>
      <c r="H156">
        <v>0</v>
      </c>
      <c r="I156">
        <f t="shared" si="19"/>
        <v>4</v>
      </c>
      <c r="J156" t="str">
        <f>_xlfn.XLOOKUP(A156,'[1]Point of Sale Analysis'!$A:$A,'[1]Point of Sale Analysis'!$B:$B,"not found",0)</f>
        <v>not found</v>
      </c>
    </row>
    <row r="157" spans="1:11" x14ac:dyDescent="0.3">
      <c r="A157" s="1" t="s">
        <v>163</v>
      </c>
      <c r="B157" s="1">
        <v>1</v>
      </c>
      <c r="C157" s="1">
        <v>1</v>
      </c>
      <c r="D157" s="1">
        <v>1</v>
      </c>
      <c r="E157" s="1"/>
      <c r="F157" s="1">
        <v>2</v>
      </c>
      <c r="G157" s="1">
        <v>2</v>
      </c>
      <c r="H157" s="1">
        <v>0</v>
      </c>
      <c r="I157" s="1">
        <f t="shared" si="19"/>
        <v>2</v>
      </c>
      <c r="J157" s="1">
        <f>_xlfn.XLOOKUP(A157,'[1]Point of Sale Analysis'!$A:$A,'[1]Point of Sale Analysis'!$B:$B,"not found",0)</f>
        <v>3</v>
      </c>
      <c r="K157" s="1">
        <f t="shared" ref="K157:K164" si="23">ABS(J157-I157)</f>
        <v>1</v>
      </c>
    </row>
    <row r="158" spans="1:11" x14ac:dyDescent="0.3">
      <c r="A158" s="1" t="s">
        <v>164</v>
      </c>
      <c r="B158" s="1">
        <v>3</v>
      </c>
      <c r="C158" s="1"/>
      <c r="D158" s="1"/>
      <c r="E158" s="1">
        <v>1</v>
      </c>
      <c r="F158" s="1">
        <v>11</v>
      </c>
      <c r="G158" s="1">
        <v>0</v>
      </c>
      <c r="H158" s="1">
        <v>2</v>
      </c>
      <c r="I158" s="1">
        <f t="shared" si="19"/>
        <v>2</v>
      </c>
      <c r="J158" s="1">
        <f>_xlfn.XLOOKUP(A158,'[1]Point of Sale Analysis'!$A:$A,'[1]Point of Sale Analysis'!$B:$B,"not found",0)</f>
        <v>1</v>
      </c>
      <c r="K158" s="1">
        <f t="shared" si="23"/>
        <v>1</v>
      </c>
    </row>
    <row r="159" spans="1:11" x14ac:dyDescent="0.3">
      <c r="A159" s="1" t="s">
        <v>165</v>
      </c>
      <c r="B159" s="1"/>
      <c r="C159" s="1"/>
      <c r="D159" s="1"/>
      <c r="E159" s="1">
        <v>2</v>
      </c>
      <c r="F159" s="1">
        <v>18</v>
      </c>
      <c r="G159" s="1">
        <v>0</v>
      </c>
      <c r="H159" s="1">
        <v>2</v>
      </c>
      <c r="I159" s="1">
        <f t="shared" si="19"/>
        <v>2</v>
      </c>
      <c r="J159" s="1">
        <f>_xlfn.XLOOKUP(A159,'[1]Point of Sale Analysis'!$A:$A,'[1]Point of Sale Analysis'!$B:$B,"not found",0)</f>
        <v>1</v>
      </c>
      <c r="K159" s="1">
        <f t="shared" si="23"/>
        <v>1</v>
      </c>
    </row>
    <row r="160" spans="1:11" x14ac:dyDescent="0.3">
      <c r="A160" s="1" t="s">
        <v>166</v>
      </c>
      <c r="B160" s="1"/>
      <c r="C160" s="1"/>
      <c r="D160" s="1"/>
      <c r="E160" s="1">
        <v>2</v>
      </c>
      <c r="F160" s="1">
        <v>48</v>
      </c>
      <c r="G160" s="1">
        <v>6</v>
      </c>
      <c r="H160" s="1">
        <v>0</v>
      </c>
      <c r="I160" s="1">
        <f t="shared" si="19"/>
        <v>6</v>
      </c>
      <c r="J160" s="1">
        <f>_xlfn.XLOOKUP(A160,'[1]Point of Sale Analysis'!$A:$A,'[1]Point of Sale Analysis'!$B:$B,"not found",0)</f>
        <v>2</v>
      </c>
      <c r="K160" s="1">
        <f t="shared" si="23"/>
        <v>4</v>
      </c>
    </row>
    <row r="161" spans="1:11" x14ac:dyDescent="0.3">
      <c r="A161" s="1" t="s">
        <v>167</v>
      </c>
      <c r="B161" s="1">
        <v>4</v>
      </c>
      <c r="C161" s="1">
        <v>4</v>
      </c>
      <c r="D161" s="1">
        <v>5</v>
      </c>
      <c r="E161" s="1">
        <v>4</v>
      </c>
      <c r="F161" s="1">
        <v>80</v>
      </c>
      <c r="G161" s="1">
        <v>3</v>
      </c>
      <c r="H161" s="1">
        <v>1</v>
      </c>
      <c r="I161" s="1">
        <f t="shared" si="19"/>
        <v>4</v>
      </c>
      <c r="J161" s="1">
        <f>_xlfn.XLOOKUP(A161,'[1]Point of Sale Analysis'!$A:$A,'[1]Point of Sale Analysis'!$B:$B,"not found",0)</f>
        <v>3</v>
      </c>
      <c r="K161" s="1">
        <f t="shared" si="23"/>
        <v>1</v>
      </c>
    </row>
    <row r="162" spans="1:11" x14ac:dyDescent="0.3">
      <c r="A162" s="1" t="s">
        <v>168</v>
      </c>
      <c r="B162" s="1">
        <v>5</v>
      </c>
      <c r="C162" s="1">
        <v>1</v>
      </c>
      <c r="D162" s="1"/>
      <c r="E162" s="1">
        <v>4</v>
      </c>
      <c r="F162" s="1">
        <v>11</v>
      </c>
      <c r="G162" s="1">
        <v>4</v>
      </c>
      <c r="H162" s="1">
        <v>0</v>
      </c>
      <c r="I162" s="1">
        <f t="shared" si="19"/>
        <v>4</v>
      </c>
      <c r="J162" s="1">
        <f>_xlfn.XLOOKUP(A162,'[1]Point of Sale Analysis'!$A:$A,'[1]Point of Sale Analysis'!$B:$B,"not found",0)</f>
        <v>6</v>
      </c>
      <c r="K162" s="1">
        <f t="shared" si="23"/>
        <v>2</v>
      </c>
    </row>
    <row r="163" spans="1:11" x14ac:dyDescent="0.3">
      <c r="A163" s="1" t="s">
        <v>169</v>
      </c>
      <c r="B163" s="1">
        <v>4</v>
      </c>
      <c r="C163" s="1">
        <v>5</v>
      </c>
      <c r="D163" s="1"/>
      <c r="E163" s="1">
        <v>3</v>
      </c>
      <c r="F163" s="1">
        <v>36</v>
      </c>
      <c r="G163" s="1">
        <v>2</v>
      </c>
      <c r="H163" s="1">
        <v>2</v>
      </c>
      <c r="I163" s="1">
        <f t="shared" si="19"/>
        <v>4</v>
      </c>
      <c r="J163" s="1">
        <f>_xlfn.XLOOKUP(A163,'[1]Point of Sale Analysis'!$A:$A,'[1]Point of Sale Analysis'!$B:$B,"not found",0)</f>
        <v>2</v>
      </c>
      <c r="K163" s="1">
        <f t="shared" si="23"/>
        <v>2</v>
      </c>
    </row>
    <row r="164" spans="1:11" x14ac:dyDescent="0.3">
      <c r="A164" s="1" t="s">
        <v>170</v>
      </c>
      <c r="B164" s="1">
        <v>2</v>
      </c>
      <c r="C164" s="1">
        <v>2</v>
      </c>
      <c r="D164" s="1">
        <v>4</v>
      </c>
      <c r="E164" s="1">
        <v>3</v>
      </c>
      <c r="F164" s="1">
        <v>39</v>
      </c>
      <c r="G164" s="1">
        <v>11</v>
      </c>
      <c r="H164" s="1">
        <v>0</v>
      </c>
      <c r="I164" s="1">
        <f t="shared" si="19"/>
        <v>11</v>
      </c>
      <c r="J164" s="1">
        <f>_xlfn.XLOOKUP(A164,'[1]Point of Sale Analysis'!$A:$A,'[1]Point of Sale Analysis'!$B:$B,"not found",0)</f>
        <v>6</v>
      </c>
      <c r="K164" s="1">
        <f t="shared" si="23"/>
        <v>5</v>
      </c>
    </row>
    <row r="165" spans="1:11" hidden="1" x14ac:dyDescent="0.3">
      <c r="A165" t="s">
        <v>171</v>
      </c>
      <c r="B165">
        <v>4</v>
      </c>
      <c r="C165">
        <v>2</v>
      </c>
      <c r="D165">
        <v>4</v>
      </c>
      <c r="E165">
        <v>2</v>
      </c>
      <c r="F165">
        <v>26</v>
      </c>
      <c r="G165">
        <v>8</v>
      </c>
      <c r="H165">
        <v>0</v>
      </c>
      <c r="I165">
        <f t="shared" si="19"/>
        <v>8</v>
      </c>
      <c r="J165" t="str">
        <f>_xlfn.XLOOKUP(A165,'[1]Point of Sale Analysis'!$A:$A,'[1]Point of Sale Analysis'!$B:$B,"not found",0)</f>
        <v>not found</v>
      </c>
    </row>
    <row r="166" spans="1:11" hidden="1" x14ac:dyDescent="0.3">
      <c r="A166" t="s">
        <v>172</v>
      </c>
      <c r="E166">
        <v>2</v>
      </c>
      <c r="F166">
        <v>12</v>
      </c>
      <c r="G166">
        <v>3</v>
      </c>
      <c r="H166">
        <v>0</v>
      </c>
      <c r="I166">
        <f t="shared" si="19"/>
        <v>3</v>
      </c>
      <c r="J166" t="str">
        <f>_xlfn.XLOOKUP(A166,'[1]Point of Sale Analysis'!$A:$A,'[1]Point of Sale Analysis'!$B:$B,"not found",0)</f>
        <v>not found</v>
      </c>
    </row>
    <row r="167" spans="1:11" hidden="1" x14ac:dyDescent="0.3">
      <c r="A167" t="s">
        <v>173</v>
      </c>
      <c r="E167">
        <v>1</v>
      </c>
      <c r="F167">
        <v>12</v>
      </c>
      <c r="G167">
        <v>4</v>
      </c>
      <c r="H167">
        <v>0</v>
      </c>
      <c r="I167">
        <f t="shared" si="19"/>
        <v>4</v>
      </c>
      <c r="J167" t="str">
        <f>_xlfn.XLOOKUP(A167,'[1]Point of Sale Analysis'!$A:$A,'[1]Point of Sale Analysis'!$B:$B,"not found",0)</f>
        <v>not found</v>
      </c>
    </row>
    <row r="168" spans="1:11" x14ac:dyDescent="0.3">
      <c r="A168" s="1" t="s">
        <v>174</v>
      </c>
      <c r="B168" s="1">
        <v>7</v>
      </c>
      <c r="C168" s="1">
        <v>5</v>
      </c>
      <c r="D168" s="1">
        <v>3</v>
      </c>
      <c r="E168" s="1">
        <v>4</v>
      </c>
      <c r="F168" s="1">
        <v>134</v>
      </c>
      <c r="G168" s="1">
        <v>3</v>
      </c>
      <c r="H168" s="1">
        <v>1</v>
      </c>
      <c r="I168" s="1">
        <f t="shared" si="19"/>
        <v>4</v>
      </c>
      <c r="J168" s="1">
        <f>_xlfn.XLOOKUP(A168,'[1]Point of Sale Analysis'!$A:$A,'[1]Point of Sale Analysis'!$B:$B,"not found",0)</f>
        <v>6</v>
      </c>
      <c r="K168" s="1">
        <f t="shared" ref="K168:K170" si="24">ABS(J168-I168)</f>
        <v>2</v>
      </c>
    </row>
    <row r="169" spans="1:11" x14ac:dyDescent="0.3">
      <c r="A169" s="1" t="s">
        <v>175</v>
      </c>
      <c r="B169" s="1">
        <v>6</v>
      </c>
      <c r="C169" s="1">
        <v>5</v>
      </c>
      <c r="D169" s="1">
        <v>4</v>
      </c>
      <c r="E169" s="1">
        <v>4</v>
      </c>
      <c r="F169" s="1">
        <v>112</v>
      </c>
      <c r="G169" s="1">
        <v>7</v>
      </c>
      <c r="H169" s="1">
        <v>0</v>
      </c>
      <c r="I169" s="1">
        <f t="shared" si="19"/>
        <v>7</v>
      </c>
      <c r="J169" s="1">
        <f>_xlfn.XLOOKUP(A169,'[1]Point of Sale Analysis'!$A:$A,'[1]Point of Sale Analysis'!$B:$B,"not found",0)</f>
        <v>9</v>
      </c>
      <c r="K169" s="1">
        <f t="shared" si="24"/>
        <v>2</v>
      </c>
    </row>
    <row r="170" spans="1:11" x14ac:dyDescent="0.3">
      <c r="A170" s="1" t="s">
        <v>176</v>
      </c>
      <c r="B170" s="1">
        <v>13</v>
      </c>
      <c r="C170" s="1">
        <v>9</v>
      </c>
      <c r="D170" s="1">
        <v>8</v>
      </c>
      <c r="E170" s="1">
        <v>16</v>
      </c>
      <c r="F170" s="1">
        <v>112</v>
      </c>
      <c r="G170" s="1">
        <v>8</v>
      </c>
      <c r="H170" s="1">
        <v>3</v>
      </c>
      <c r="I170" s="1">
        <f t="shared" si="19"/>
        <v>11</v>
      </c>
      <c r="J170" s="1">
        <f>_xlfn.XLOOKUP(A170,'[1]Point of Sale Analysis'!$A:$A,'[1]Point of Sale Analysis'!$B:$B,"not found",0)</f>
        <v>4</v>
      </c>
      <c r="K170" s="1">
        <f t="shared" si="24"/>
        <v>7</v>
      </c>
    </row>
    <row r="171" spans="1:11" hidden="1" x14ac:dyDescent="0.3">
      <c r="A171" t="s">
        <v>177</v>
      </c>
      <c r="B171">
        <v>1</v>
      </c>
      <c r="C171">
        <v>2</v>
      </c>
      <c r="D171">
        <v>3</v>
      </c>
      <c r="F171">
        <v>0</v>
      </c>
      <c r="G171">
        <v>1</v>
      </c>
      <c r="H171">
        <v>1</v>
      </c>
      <c r="I171">
        <f t="shared" si="19"/>
        <v>2</v>
      </c>
      <c r="J171" t="str">
        <f>_xlfn.XLOOKUP(A171,'[1]Point of Sale Analysis'!$A:$A,'[1]Point of Sale Analysis'!$B:$B,"not found",0)</f>
        <v>not found</v>
      </c>
    </row>
    <row r="172" spans="1:11" x14ac:dyDescent="0.3">
      <c r="A172" s="1" t="s">
        <v>178</v>
      </c>
      <c r="B172" s="1">
        <v>5</v>
      </c>
      <c r="C172" s="1">
        <v>1</v>
      </c>
      <c r="D172" s="1">
        <v>1</v>
      </c>
      <c r="E172" s="1">
        <v>2</v>
      </c>
      <c r="F172" s="1">
        <v>40</v>
      </c>
      <c r="G172" s="1">
        <v>8</v>
      </c>
      <c r="H172" s="1">
        <v>0</v>
      </c>
      <c r="I172" s="1">
        <f t="shared" si="19"/>
        <v>8</v>
      </c>
      <c r="J172" s="1">
        <f>_xlfn.XLOOKUP(A172,'[1]Point of Sale Analysis'!$A:$A,'[1]Point of Sale Analysis'!$B:$B,"not found",0)</f>
        <v>1</v>
      </c>
      <c r="K172" s="1">
        <f t="shared" ref="K172:K173" si="25">ABS(J172-I172)</f>
        <v>7</v>
      </c>
    </row>
    <row r="173" spans="1:11" x14ac:dyDescent="0.3">
      <c r="A173" s="1" t="s">
        <v>179</v>
      </c>
      <c r="B173" s="1">
        <v>1</v>
      </c>
      <c r="C173" s="1">
        <v>7</v>
      </c>
      <c r="D173" s="1">
        <v>8</v>
      </c>
      <c r="E173" s="1">
        <v>2</v>
      </c>
      <c r="F173" s="1">
        <v>74</v>
      </c>
      <c r="G173" s="1">
        <v>6</v>
      </c>
      <c r="H173" s="1">
        <v>0</v>
      </c>
      <c r="I173" s="1">
        <f t="shared" si="19"/>
        <v>6</v>
      </c>
      <c r="J173" s="1">
        <f>_xlfn.XLOOKUP(A173,'[1]Point of Sale Analysis'!$A:$A,'[1]Point of Sale Analysis'!$B:$B,"not found",0)</f>
        <v>2</v>
      </c>
      <c r="K173" s="1">
        <f t="shared" si="25"/>
        <v>4</v>
      </c>
    </row>
    <row r="174" spans="1:11" hidden="1" x14ac:dyDescent="0.3">
      <c r="A174" t="s">
        <v>180</v>
      </c>
      <c r="B174">
        <v>2</v>
      </c>
      <c r="C174">
        <v>2</v>
      </c>
      <c r="D174">
        <v>1</v>
      </c>
      <c r="E174">
        <v>1</v>
      </c>
      <c r="F174">
        <v>6</v>
      </c>
      <c r="G174">
        <v>3</v>
      </c>
      <c r="H174">
        <v>0</v>
      </c>
      <c r="I174">
        <f t="shared" si="19"/>
        <v>3</v>
      </c>
      <c r="J174" t="str">
        <f>_xlfn.XLOOKUP(A174,'[1]Point of Sale Analysis'!$A:$A,'[1]Point of Sale Analysis'!$B:$B,"not found",0)</f>
        <v>not found</v>
      </c>
    </row>
    <row r="175" spans="1:11" x14ac:dyDescent="0.3">
      <c r="A175" s="1" t="s">
        <v>181</v>
      </c>
      <c r="B175" s="1">
        <v>3</v>
      </c>
      <c r="C175" s="1">
        <v>2</v>
      </c>
      <c r="D175" s="1">
        <v>4</v>
      </c>
      <c r="E175" s="1">
        <v>4</v>
      </c>
      <c r="F175" s="1">
        <v>51</v>
      </c>
      <c r="G175" s="1">
        <v>6</v>
      </c>
      <c r="H175" s="1">
        <v>0</v>
      </c>
      <c r="I175" s="1">
        <f t="shared" si="19"/>
        <v>6</v>
      </c>
      <c r="J175" s="1">
        <f>_xlfn.XLOOKUP(A175,'[1]Point of Sale Analysis'!$A:$A,'[1]Point of Sale Analysis'!$B:$B,"not found",0)</f>
        <v>2</v>
      </c>
      <c r="K175" s="1">
        <f t="shared" ref="K175:K183" si="26">ABS(J175-I175)</f>
        <v>4</v>
      </c>
    </row>
    <row r="176" spans="1:11" x14ac:dyDescent="0.3">
      <c r="A176" s="1" t="s">
        <v>182</v>
      </c>
      <c r="B176" s="1">
        <v>1</v>
      </c>
      <c r="C176" s="1">
        <v>4</v>
      </c>
      <c r="D176" s="1">
        <v>3</v>
      </c>
      <c r="E176" s="1">
        <v>1</v>
      </c>
      <c r="F176" s="1">
        <v>14</v>
      </c>
      <c r="G176" s="1">
        <v>7</v>
      </c>
      <c r="H176" s="1">
        <v>0</v>
      </c>
      <c r="I176" s="1">
        <f t="shared" si="19"/>
        <v>7</v>
      </c>
      <c r="J176" s="1">
        <f>_xlfn.XLOOKUP(A176,'[1]Point of Sale Analysis'!$A:$A,'[1]Point of Sale Analysis'!$B:$B,"not found",0)</f>
        <v>4</v>
      </c>
      <c r="K176" s="1">
        <f t="shared" si="26"/>
        <v>3</v>
      </c>
    </row>
    <row r="177" spans="1:11" x14ac:dyDescent="0.3">
      <c r="A177" s="1" t="s">
        <v>183</v>
      </c>
      <c r="B177" s="1">
        <v>5</v>
      </c>
      <c r="C177" s="1">
        <v>4</v>
      </c>
      <c r="D177" s="1">
        <v>2</v>
      </c>
      <c r="E177" s="1">
        <v>1</v>
      </c>
      <c r="F177" s="1">
        <v>30</v>
      </c>
      <c r="G177" s="1">
        <v>12</v>
      </c>
      <c r="H177" s="1">
        <v>0</v>
      </c>
      <c r="I177" s="1">
        <f t="shared" si="19"/>
        <v>12</v>
      </c>
      <c r="J177" s="1">
        <f>_xlfn.XLOOKUP(A177,'[1]Point of Sale Analysis'!$A:$A,'[1]Point of Sale Analysis'!$B:$B,"not found",0)</f>
        <v>3</v>
      </c>
      <c r="K177" s="1">
        <f t="shared" si="26"/>
        <v>9</v>
      </c>
    </row>
    <row r="178" spans="1:11" x14ac:dyDescent="0.3">
      <c r="A178" s="1" t="s">
        <v>184</v>
      </c>
      <c r="B178" s="1">
        <v>2</v>
      </c>
      <c r="C178" s="1">
        <v>3</v>
      </c>
      <c r="D178" s="1">
        <v>4</v>
      </c>
      <c r="E178" s="1">
        <v>3</v>
      </c>
      <c r="F178" s="1">
        <v>63</v>
      </c>
      <c r="G178" s="1">
        <v>10</v>
      </c>
      <c r="H178" s="1">
        <v>0</v>
      </c>
      <c r="I178" s="1">
        <f t="shared" si="19"/>
        <v>10</v>
      </c>
      <c r="J178" s="1">
        <f>_xlfn.XLOOKUP(A178,'[1]Point of Sale Analysis'!$A:$A,'[1]Point of Sale Analysis'!$B:$B,"not found",0)</f>
        <v>2</v>
      </c>
      <c r="K178" s="1">
        <f t="shared" si="26"/>
        <v>8</v>
      </c>
    </row>
    <row r="179" spans="1:11" x14ac:dyDescent="0.3">
      <c r="A179" s="1" t="s">
        <v>185</v>
      </c>
      <c r="B179" s="1"/>
      <c r="C179" s="1">
        <v>1</v>
      </c>
      <c r="D179" s="1">
        <v>3</v>
      </c>
      <c r="E179" s="1">
        <v>1</v>
      </c>
      <c r="F179" s="1">
        <v>57</v>
      </c>
      <c r="G179" s="1">
        <v>6</v>
      </c>
      <c r="H179" s="1">
        <v>0</v>
      </c>
      <c r="I179" s="1">
        <f t="shared" si="19"/>
        <v>6</v>
      </c>
      <c r="J179" s="1">
        <f>_xlfn.XLOOKUP(A179,'[1]Point of Sale Analysis'!$A:$A,'[1]Point of Sale Analysis'!$B:$B,"not found",0)</f>
        <v>1</v>
      </c>
      <c r="K179" s="1">
        <f t="shared" si="26"/>
        <v>5</v>
      </c>
    </row>
    <row r="180" spans="1:11" x14ac:dyDescent="0.3">
      <c r="A180" s="1" t="s">
        <v>186</v>
      </c>
      <c r="B180" s="1"/>
      <c r="C180" s="1"/>
      <c r="D180" s="1"/>
      <c r="E180" s="1">
        <v>1</v>
      </c>
      <c r="F180" s="1">
        <v>45</v>
      </c>
      <c r="G180" s="1">
        <v>6</v>
      </c>
      <c r="H180" s="1">
        <v>0</v>
      </c>
      <c r="I180" s="1">
        <f t="shared" si="19"/>
        <v>6</v>
      </c>
      <c r="J180" s="1">
        <f>_xlfn.XLOOKUP(A180,'[1]Point of Sale Analysis'!$A:$A,'[1]Point of Sale Analysis'!$B:$B,"not found",0)</f>
        <v>2</v>
      </c>
      <c r="K180" s="1">
        <f t="shared" si="26"/>
        <v>4</v>
      </c>
    </row>
    <row r="181" spans="1:11" x14ac:dyDescent="0.3">
      <c r="A181" s="1" t="s">
        <v>187</v>
      </c>
      <c r="B181" s="1"/>
      <c r="C181" s="1"/>
      <c r="D181" s="1"/>
      <c r="E181" s="1">
        <v>4</v>
      </c>
      <c r="F181" s="1">
        <v>49</v>
      </c>
      <c r="G181" s="1">
        <v>3</v>
      </c>
      <c r="H181" s="1">
        <v>1</v>
      </c>
      <c r="I181" s="1">
        <f t="shared" si="19"/>
        <v>4</v>
      </c>
      <c r="J181" s="1">
        <f>_xlfn.XLOOKUP(A181,'[1]Point of Sale Analysis'!$A:$A,'[1]Point of Sale Analysis'!$B:$B,"not found",0)</f>
        <v>4</v>
      </c>
      <c r="K181" s="1">
        <f t="shared" si="26"/>
        <v>0</v>
      </c>
    </row>
    <row r="182" spans="1:11" x14ac:dyDescent="0.3">
      <c r="A182" s="1" t="s">
        <v>188</v>
      </c>
      <c r="B182" s="1">
        <v>8</v>
      </c>
      <c r="C182" s="1">
        <v>8</v>
      </c>
      <c r="D182" s="1">
        <v>5</v>
      </c>
      <c r="E182" s="1">
        <v>4</v>
      </c>
      <c r="F182" s="1">
        <v>42</v>
      </c>
      <c r="G182" s="1">
        <v>5</v>
      </c>
      <c r="H182" s="1">
        <v>1</v>
      </c>
      <c r="I182" s="1">
        <f t="shared" si="19"/>
        <v>6</v>
      </c>
      <c r="J182" s="1">
        <f>_xlfn.XLOOKUP(A182,'[1]Point of Sale Analysis'!$A:$A,'[1]Point of Sale Analysis'!$B:$B,"not found",0)</f>
        <v>3</v>
      </c>
      <c r="K182" s="1">
        <f t="shared" si="26"/>
        <v>3</v>
      </c>
    </row>
    <row r="183" spans="1:11" x14ac:dyDescent="0.3">
      <c r="A183" s="1" t="s">
        <v>189</v>
      </c>
      <c r="B183" s="1">
        <v>14</v>
      </c>
      <c r="C183" s="1">
        <v>8</v>
      </c>
      <c r="D183" s="1">
        <v>9</v>
      </c>
      <c r="E183" s="1">
        <v>9</v>
      </c>
      <c r="F183" s="1">
        <v>35</v>
      </c>
      <c r="G183" s="1">
        <v>3</v>
      </c>
      <c r="H183" s="1">
        <v>6</v>
      </c>
      <c r="I183" s="1">
        <f t="shared" si="19"/>
        <v>9</v>
      </c>
      <c r="J183" s="1">
        <f>_xlfn.XLOOKUP(A183,'[1]Point of Sale Analysis'!$A:$A,'[1]Point of Sale Analysis'!$B:$B,"not found",0)</f>
        <v>7</v>
      </c>
      <c r="K183" s="1">
        <f t="shared" si="26"/>
        <v>2</v>
      </c>
    </row>
    <row r="184" spans="1:11" hidden="1" x14ac:dyDescent="0.3">
      <c r="A184" t="s">
        <v>190</v>
      </c>
      <c r="B184">
        <v>8</v>
      </c>
      <c r="C184">
        <v>5</v>
      </c>
      <c r="D184">
        <v>3</v>
      </c>
      <c r="F184">
        <v>0</v>
      </c>
      <c r="G184">
        <v>0</v>
      </c>
      <c r="H184">
        <v>5</v>
      </c>
      <c r="I184">
        <f t="shared" si="19"/>
        <v>5</v>
      </c>
      <c r="J184" t="str">
        <f>_xlfn.XLOOKUP(A184,'[1]Point of Sale Analysis'!$A:$A,'[1]Point of Sale Analysis'!$B:$B,"not found",0)</f>
        <v>not found</v>
      </c>
    </row>
    <row r="185" spans="1:11" hidden="1" x14ac:dyDescent="0.3">
      <c r="A185" t="s">
        <v>191</v>
      </c>
      <c r="B185">
        <v>2</v>
      </c>
      <c r="C185">
        <v>8</v>
      </c>
      <c r="D185">
        <v>3</v>
      </c>
      <c r="F185">
        <v>42</v>
      </c>
      <c r="G185">
        <v>7</v>
      </c>
      <c r="H185">
        <v>0</v>
      </c>
      <c r="I185">
        <f t="shared" si="19"/>
        <v>7</v>
      </c>
      <c r="J185" t="str">
        <f>_xlfn.XLOOKUP(A185,'[1]Point of Sale Analysis'!$A:$A,'[1]Point of Sale Analysis'!$B:$B,"not found",0)</f>
        <v>not found</v>
      </c>
    </row>
    <row r="186" spans="1:11" x14ac:dyDescent="0.3">
      <c r="A186" s="1" t="s">
        <v>192</v>
      </c>
      <c r="B186" s="1">
        <v>3</v>
      </c>
      <c r="C186" s="1">
        <v>7</v>
      </c>
      <c r="D186" s="1">
        <v>2</v>
      </c>
      <c r="E186" s="1">
        <v>4</v>
      </c>
      <c r="F186" s="1">
        <v>77</v>
      </c>
      <c r="G186" s="1">
        <v>5</v>
      </c>
      <c r="H186" s="1">
        <v>0</v>
      </c>
      <c r="I186" s="1">
        <f t="shared" si="19"/>
        <v>5</v>
      </c>
      <c r="J186" s="1">
        <f>_xlfn.XLOOKUP(A186,'[1]Point of Sale Analysis'!$A:$A,'[1]Point of Sale Analysis'!$B:$B,"not found",0)</f>
        <v>4</v>
      </c>
      <c r="K186" s="1">
        <f t="shared" ref="K186:K197" si="27">ABS(J186-I186)</f>
        <v>1</v>
      </c>
    </row>
    <row r="187" spans="1:11" x14ac:dyDescent="0.3">
      <c r="A187" s="1" t="s">
        <v>193</v>
      </c>
      <c r="B187" s="1"/>
      <c r="C187" s="1"/>
      <c r="D187" s="1"/>
      <c r="E187" s="1">
        <v>4</v>
      </c>
      <c r="F187" s="1">
        <v>8</v>
      </c>
      <c r="G187" s="1">
        <v>3</v>
      </c>
      <c r="H187" s="1">
        <v>1</v>
      </c>
      <c r="I187" s="1">
        <f t="shared" si="19"/>
        <v>4</v>
      </c>
      <c r="J187" s="1">
        <f>_xlfn.XLOOKUP(A187,'[1]Point of Sale Analysis'!$A:$A,'[1]Point of Sale Analysis'!$B:$B,"not found",0)</f>
        <v>4</v>
      </c>
      <c r="K187" s="1">
        <f t="shared" si="27"/>
        <v>0</v>
      </c>
    </row>
    <row r="188" spans="1:11" x14ac:dyDescent="0.3">
      <c r="A188" s="1" t="s">
        <v>194</v>
      </c>
      <c r="B188" s="1"/>
      <c r="C188" s="1"/>
      <c r="D188" s="1"/>
      <c r="E188" s="1">
        <v>3</v>
      </c>
      <c r="F188" s="1">
        <v>10</v>
      </c>
      <c r="G188" s="1">
        <v>5</v>
      </c>
      <c r="H188" s="1">
        <v>0</v>
      </c>
      <c r="I188" s="1">
        <f t="shared" si="19"/>
        <v>5</v>
      </c>
      <c r="J188" s="1">
        <f>_xlfn.XLOOKUP(A188,'[1]Point of Sale Analysis'!$A:$A,'[1]Point of Sale Analysis'!$B:$B,"not found",0)</f>
        <v>2</v>
      </c>
      <c r="K188" s="1">
        <f t="shared" si="27"/>
        <v>3</v>
      </c>
    </row>
    <row r="189" spans="1:11" x14ac:dyDescent="0.3">
      <c r="A189" s="1" t="s">
        <v>195</v>
      </c>
      <c r="B189" s="1"/>
      <c r="C189" s="1"/>
      <c r="D189" s="1"/>
      <c r="E189" s="1">
        <v>1</v>
      </c>
      <c r="F189" s="1">
        <v>16</v>
      </c>
      <c r="G189" s="1">
        <v>0</v>
      </c>
      <c r="H189" s="1">
        <v>1</v>
      </c>
      <c r="I189" s="1">
        <f t="shared" si="19"/>
        <v>1</v>
      </c>
      <c r="J189" s="1">
        <f>_xlfn.XLOOKUP(A189,'[1]Point of Sale Analysis'!$A:$A,'[1]Point of Sale Analysis'!$B:$B,"not found",0)</f>
        <v>1</v>
      </c>
      <c r="K189" s="1">
        <f t="shared" si="27"/>
        <v>0</v>
      </c>
    </row>
    <row r="190" spans="1:11" x14ac:dyDescent="0.3">
      <c r="A190" s="1" t="s">
        <v>196</v>
      </c>
      <c r="B190" s="1">
        <v>1</v>
      </c>
      <c r="C190" s="1">
        <v>2</v>
      </c>
      <c r="D190" s="1">
        <v>6</v>
      </c>
      <c r="E190" s="1">
        <v>5</v>
      </c>
      <c r="F190" s="1">
        <v>46</v>
      </c>
      <c r="G190" s="1">
        <v>3</v>
      </c>
      <c r="H190" s="1">
        <v>0</v>
      </c>
      <c r="I190" s="1">
        <f t="shared" si="19"/>
        <v>3</v>
      </c>
      <c r="J190" s="1">
        <f>_xlfn.XLOOKUP(A190,'[1]Point of Sale Analysis'!$A:$A,'[1]Point of Sale Analysis'!$B:$B,"not found",0)</f>
        <v>1</v>
      </c>
      <c r="K190" s="1">
        <f t="shared" si="27"/>
        <v>2</v>
      </c>
    </row>
    <row r="191" spans="1:11" x14ac:dyDescent="0.3">
      <c r="A191" s="1" t="s">
        <v>197</v>
      </c>
      <c r="B191" s="1">
        <v>5</v>
      </c>
      <c r="C191" s="1">
        <v>6</v>
      </c>
      <c r="D191" s="1">
        <v>2</v>
      </c>
      <c r="E191" s="1">
        <v>1</v>
      </c>
      <c r="F191" s="1">
        <v>42</v>
      </c>
      <c r="G191" s="1">
        <v>11</v>
      </c>
      <c r="H191" s="1">
        <v>0</v>
      </c>
      <c r="I191" s="1">
        <f t="shared" si="19"/>
        <v>11</v>
      </c>
      <c r="J191" s="1">
        <f>_xlfn.XLOOKUP(A191,'[1]Point of Sale Analysis'!$A:$A,'[1]Point of Sale Analysis'!$B:$B,"not found",0)</f>
        <v>4</v>
      </c>
      <c r="K191" s="1">
        <f t="shared" si="27"/>
        <v>7</v>
      </c>
    </row>
    <row r="192" spans="1:11" x14ac:dyDescent="0.3">
      <c r="A192" s="1" t="s">
        <v>198</v>
      </c>
      <c r="B192" s="1">
        <v>1</v>
      </c>
      <c r="C192" s="1">
        <v>4</v>
      </c>
      <c r="D192" s="1">
        <v>4</v>
      </c>
      <c r="E192" s="1"/>
      <c r="F192" s="1">
        <v>21</v>
      </c>
      <c r="G192" s="1">
        <v>3</v>
      </c>
      <c r="H192" s="1">
        <v>1</v>
      </c>
      <c r="I192" s="1">
        <f t="shared" si="19"/>
        <v>4</v>
      </c>
      <c r="J192" s="1">
        <f>_xlfn.XLOOKUP(A192,'[1]Point of Sale Analysis'!$A:$A,'[1]Point of Sale Analysis'!$B:$B,"not found",0)</f>
        <v>2</v>
      </c>
      <c r="K192" s="1">
        <f t="shared" si="27"/>
        <v>2</v>
      </c>
    </row>
    <row r="193" spans="1:11" x14ac:dyDescent="0.3">
      <c r="A193" s="1" t="s">
        <v>199</v>
      </c>
      <c r="B193" s="1">
        <v>3</v>
      </c>
      <c r="C193" s="1">
        <v>5</v>
      </c>
      <c r="D193" s="1">
        <v>9</v>
      </c>
      <c r="E193" s="1">
        <v>4</v>
      </c>
      <c r="F193" s="1">
        <v>33</v>
      </c>
      <c r="G193" s="1">
        <v>7</v>
      </c>
      <c r="H193" s="1">
        <v>0</v>
      </c>
      <c r="I193" s="1">
        <f t="shared" si="19"/>
        <v>7</v>
      </c>
      <c r="J193" s="1">
        <f>_xlfn.XLOOKUP(A193,'[1]Point of Sale Analysis'!$A:$A,'[1]Point of Sale Analysis'!$B:$B,"not found",0)</f>
        <v>7</v>
      </c>
      <c r="K193" s="1">
        <f t="shared" si="27"/>
        <v>0</v>
      </c>
    </row>
    <row r="194" spans="1:11" x14ac:dyDescent="0.3">
      <c r="A194" s="1" t="s">
        <v>200</v>
      </c>
      <c r="B194" s="1"/>
      <c r="C194" s="1"/>
      <c r="D194" s="1"/>
      <c r="E194" s="1">
        <v>1</v>
      </c>
      <c r="F194" s="1">
        <v>11</v>
      </c>
      <c r="G194" s="1">
        <v>4</v>
      </c>
      <c r="H194" s="1">
        <v>0</v>
      </c>
      <c r="I194" s="1">
        <f t="shared" si="19"/>
        <v>4</v>
      </c>
      <c r="J194" s="1">
        <f>_xlfn.XLOOKUP(A194,'[1]Point of Sale Analysis'!$A:$A,'[1]Point of Sale Analysis'!$B:$B,"not found",0)</f>
        <v>3</v>
      </c>
      <c r="K194" s="1">
        <f t="shared" si="27"/>
        <v>1</v>
      </c>
    </row>
    <row r="195" spans="1:11" x14ac:dyDescent="0.3">
      <c r="A195" s="1" t="s">
        <v>201</v>
      </c>
      <c r="B195" s="1"/>
      <c r="C195" s="1"/>
      <c r="D195" s="1"/>
      <c r="E195" s="1">
        <v>7</v>
      </c>
      <c r="F195" s="1">
        <v>2</v>
      </c>
      <c r="G195" s="1">
        <v>0</v>
      </c>
      <c r="H195" s="1">
        <v>7</v>
      </c>
      <c r="I195" s="1">
        <f t="shared" ref="I195:I258" si="28">G195+H195</f>
        <v>7</v>
      </c>
      <c r="J195" s="1">
        <f>_xlfn.XLOOKUP(A195,'[1]Point of Sale Analysis'!$A:$A,'[1]Point of Sale Analysis'!$B:$B,"not found",0)</f>
        <v>2</v>
      </c>
      <c r="K195" s="1">
        <f t="shared" si="27"/>
        <v>5</v>
      </c>
    </row>
    <row r="196" spans="1:11" x14ac:dyDescent="0.3">
      <c r="A196" s="1" t="s">
        <v>202</v>
      </c>
      <c r="B196" s="1">
        <v>5</v>
      </c>
      <c r="C196" s="1">
        <v>4</v>
      </c>
      <c r="D196" s="1">
        <v>1</v>
      </c>
      <c r="E196" s="1">
        <v>1</v>
      </c>
      <c r="F196" s="1">
        <v>7</v>
      </c>
      <c r="G196" s="1">
        <v>3</v>
      </c>
      <c r="H196" s="1">
        <v>0</v>
      </c>
      <c r="I196" s="1">
        <f t="shared" si="28"/>
        <v>3</v>
      </c>
      <c r="J196" s="1">
        <f>_xlfn.XLOOKUP(A196,'[1]Point of Sale Analysis'!$A:$A,'[1]Point of Sale Analysis'!$B:$B,"not found",0)</f>
        <v>4</v>
      </c>
      <c r="K196" s="1">
        <f t="shared" si="27"/>
        <v>1</v>
      </c>
    </row>
    <row r="197" spans="1:11" x14ac:dyDescent="0.3">
      <c r="A197" s="1" t="s">
        <v>203</v>
      </c>
      <c r="B197" s="1">
        <v>5</v>
      </c>
      <c r="C197" s="1">
        <v>3</v>
      </c>
      <c r="D197" s="1">
        <v>1</v>
      </c>
      <c r="E197" s="1">
        <v>2</v>
      </c>
      <c r="F197" s="1">
        <v>25</v>
      </c>
      <c r="G197" s="1">
        <v>1</v>
      </c>
      <c r="H197" s="1">
        <v>1</v>
      </c>
      <c r="I197" s="1">
        <f t="shared" si="28"/>
        <v>2</v>
      </c>
      <c r="J197" s="1">
        <f>_xlfn.XLOOKUP(A197,'[1]Point of Sale Analysis'!$A:$A,'[1]Point of Sale Analysis'!$B:$B,"not found",0)</f>
        <v>1</v>
      </c>
      <c r="K197" s="1">
        <f t="shared" si="27"/>
        <v>1</v>
      </c>
    </row>
    <row r="198" spans="1:11" hidden="1" x14ac:dyDescent="0.3">
      <c r="A198" t="s">
        <v>204</v>
      </c>
      <c r="B198">
        <v>14</v>
      </c>
      <c r="C198">
        <v>11</v>
      </c>
      <c r="D198">
        <v>25</v>
      </c>
      <c r="E198">
        <v>9</v>
      </c>
      <c r="F198">
        <v>22</v>
      </c>
      <c r="G198">
        <v>10</v>
      </c>
      <c r="H198">
        <v>2</v>
      </c>
      <c r="I198">
        <f t="shared" si="28"/>
        <v>12</v>
      </c>
      <c r="J198" t="str">
        <f>_xlfn.XLOOKUP(A198,'[1]Point of Sale Analysis'!$A:$A,'[1]Point of Sale Analysis'!$B:$B,"not found",0)</f>
        <v>not found</v>
      </c>
    </row>
    <row r="199" spans="1:11" x14ac:dyDescent="0.3">
      <c r="A199" s="1" t="s">
        <v>205</v>
      </c>
      <c r="B199" s="1">
        <v>3</v>
      </c>
      <c r="C199" s="1">
        <v>1</v>
      </c>
      <c r="D199" s="1"/>
      <c r="E199" s="1">
        <v>3</v>
      </c>
      <c r="F199" s="1">
        <v>13</v>
      </c>
      <c r="G199" s="1">
        <v>5</v>
      </c>
      <c r="H199" s="1">
        <v>0</v>
      </c>
      <c r="I199" s="1">
        <f t="shared" si="28"/>
        <v>5</v>
      </c>
      <c r="J199" s="1">
        <f>_xlfn.XLOOKUP(A199,'[1]Point of Sale Analysis'!$A:$A,'[1]Point of Sale Analysis'!$B:$B,"not found",0)</f>
        <v>3</v>
      </c>
      <c r="K199" s="1">
        <f>ABS(J199-I199)</f>
        <v>2</v>
      </c>
    </row>
    <row r="200" spans="1:11" hidden="1" x14ac:dyDescent="0.3">
      <c r="A200" t="s">
        <v>206</v>
      </c>
      <c r="B200">
        <v>2</v>
      </c>
      <c r="C200">
        <v>1</v>
      </c>
      <c r="F200">
        <v>11</v>
      </c>
      <c r="G200">
        <v>1</v>
      </c>
      <c r="H200">
        <v>0</v>
      </c>
      <c r="I200">
        <f t="shared" si="28"/>
        <v>1</v>
      </c>
      <c r="J200" t="str">
        <f>_xlfn.XLOOKUP(A200,'[1]Point of Sale Analysis'!$A:$A,'[1]Point of Sale Analysis'!$B:$B,"not found",0)</f>
        <v>not found</v>
      </c>
    </row>
    <row r="201" spans="1:11" hidden="1" x14ac:dyDescent="0.3">
      <c r="A201" t="s">
        <v>207</v>
      </c>
      <c r="B201">
        <v>1</v>
      </c>
      <c r="C201">
        <v>1</v>
      </c>
      <c r="D201">
        <v>1</v>
      </c>
      <c r="E201">
        <v>1</v>
      </c>
      <c r="F201">
        <v>6</v>
      </c>
      <c r="G201">
        <v>2</v>
      </c>
      <c r="H201">
        <v>0</v>
      </c>
      <c r="I201">
        <f t="shared" si="28"/>
        <v>2</v>
      </c>
      <c r="J201" t="str">
        <f>_xlfn.XLOOKUP(A201,'[1]Point of Sale Analysis'!$A:$A,'[1]Point of Sale Analysis'!$B:$B,"not found",0)</f>
        <v>not found</v>
      </c>
    </row>
    <row r="202" spans="1:11" hidden="1" x14ac:dyDescent="0.3">
      <c r="A202" t="s">
        <v>208</v>
      </c>
      <c r="B202">
        <v>1</v>
      </c>
      <c r="C202">
        <v>1</v>
      </c>
      <c r="D202">
        <v>3</v>
      </c>
      <c r="F202">
        <v>0</v>
      </c>
      <c r="G202">
        <v>1</v>
      </c>
      <c r="H202">
        <v>0</v>
      </c>
      <c r="I202">
        <f t="shared" si="28"/>
        <v>1</v>
      </c>
      <c r="J202" t="str">
        <f>_xlfn.XLOOKUP(A202,'[1]Point of Sale Analysis'!$A:$A,'[1]Point of Sale Analysis'!$B:$B,"not found",0)</f>
        <v>not found</v>
      </c>
    </row>
    <row r="203" spans="1:11" hidden="1" x14ac:dyDescent="0.3">
      <c r="A203" t="s">
        <v>209</v>
      </c>
      <c r="B203">
        <v>3</v>
      </c>
      <c r="D203">
        <v>2</v>
      </c>
      <c r="E203">
        <v>2</v>
      </c>
      <c r="F203">
        <v>0</v>
      </c>
      <c r="G203">
        <v>1</v>
      </c>
      <c r="H203">
        <v>1</v>
      </c>
      <c r="I203">
        <f t="shared" si="28"/>
        <v>2</v>
      </c>
      <c r="J203" t="str">
        <f>_xlfn.XLOOKUP(A203,'[1]Point of Sale Analysis'!$A:$A,'[1]Point of Sale Analysis'!$B:$B,"not found",0)</f>
        <v>not found</v>
      </c>
    </row>
    <row r="204" spans="1:11" hidden="1" x14ac:dyDescent="0.3">
      <c r="A204" t="s">
        <v>210</v>
      </c>
      <c r="B204">
        <v>2</v>
      </c>
      <c r="C204">
        <v>2</v>
      </c>
      <c r="F204">
        <v>0</v>
      </c>
      <c r="G204">
        <v>1</v>
      </c>
      <c r="H204">
        <v>1</v>
      </c>
      <c r="I204">
        <f t="shared" si="28"/>
        <v>2</v>
      </c>
      <c r="J204" t="str">
        <f>_xlfn.XLOOKUP(A204,'[1]Point of Sale Analysis'!$A:$A,'[1]Point of Sale Analysis'!$B:$B,"not found",0)</f>
        <v>not found</v>
      </c>
    </row>
    <row r="205" spans="1:11" x14ac:dyDescent="0.3">
      <c r="A205" s="1" t="s">
        <v>211</v>
      </c>
      <c r="B205" s="1">
        <v>5</v>
      </c>
      <c r="C205" s="1">
        <v>8</v>
      </c>
      <c r="D205" s="1">
        <v>10</v>
      </c>
      <c r="E205" s="1">
        <v>5</v>
      </c>
      <c r="F205" s="1">
        <v>32</v>
      </c>
      <c r="G205" s="1">
        <v>8</v>
      </c>
      <c r="H205" s="1">
        <v>0</v>
      </c>
      <c r="I205" s="1">
        <f t="shared" si="28"/>
        <v>8</v>
      </c>
      <c r="J205" s="1">
        <f>_xlfn.XLOOKUP(A205,'[1]Point of Sale Analysis'!$A:$A,'[1]Point of Sale Analysis'!$B:$B,"not found",0)</f>
        <v>5</v>
      </c>
      <c r="K205" s="1">
        <f t="shared" ref="K205:K213" si="29">ABS(J205-I205)</f>
        <v>3</v>
      </c>
    </row>
    <row r="206" spans="1:11" x14ac:dyDescent="0.3">
      <c r="A206" s="1" t="s">
        <v>212</v>
      </c>
      <c r="B206" s="1"/>
      <c r="C206" s="1"/>
      <c r="D206" s="1"/>
      <c r="E206" s="1">
        <v>1</v>
      </c>
      <c r="F206" s="1">
        <v>15</v>
      </c>
      <c r="G206" s="1">
        <v>1</v>
      </c>
      <c r="H206" s="1">
        <v>0</v>
      </c>
      <c r="I206" s="1">
        <f t="shared" si="28"/>
        <v>1</v>
      </c>
      <c r="J206" s="1">
        <f>_xlfn.XLOOKUP(A206,'[1]Point of Sale Analysis'!$A:$A,'[1]Point of Sale Analysis'!$B:$B,"not found",0)</f>
        <v>1</v>
      </c>
      <c r="K206" s="1">
        <f t="shared" si="29"/>
        <v>0</v>
      </c>
    </row>
    <row r="207" spans="1:11" x14ac:dyDescent="0.3">
      <c r="A207" s="1" t="s">
        <v>213</v>
      </c>
      <c r="B207" s="1">
        <v>2</v>
      </c>
      <c r="C207" s="1">
        <v>1</v>
      </c>
      <c r="D207" s="1">
        <v>2</v>
      </c>
      <c r="E207" s="1">
        <v>2</v>
      </c>
      <c r="F207" s="1">
        <v>9</v>
      </c>
      <c r="G207" s="1">
        <v>1</v>
      </c>
      <c r="H207" s="1">
        <v>1</v>
      </c>
      <c r="I207" s="1">
        <f t="shared" si="28"/>
        <v>2</v>
      </c>
      <c r="J207" s="1">
        <f>_xlfn.XLOOKUP(A207,'[1]Point of Sale Analysis'!$A:$A,'[1]Point of Sale Analysis'!$B:$B,"not found",0)</f>
        <v>1</v>
      </c>
      <c r="K207" s="1">
        <f t="shared" si="29"/>
        <v>1</v>
      </c>
    </row>
    <row r="208" spans="1:11" x14ac:dyDescent="0.3">
      <c r="A208" s="1" t="s">
        <v>214</v>
      </c>
      <c r="B208" s="1">
        <v>1</v>
      </c>
      <c r="C208" s="1"/>
      <c r="D208" s="1">
        <v>1</v>
      </c>
      <c r="E208" s="1">
        <v>2</v>
      </c>
      <c r="F208" s="1">
        <v>8</v>
      </c>
      <c r="G208" s="1">
        <v>1</v>
      </c>
      <c r="H208" s="1">
        <v>0</v>
      </c>
      <c r="I208" s="1">
        <f t="shared" si="28"/>
        <v>1</v>
      </c>
      <c r="J208" s="1">
        <f>_xlfn.XLOOKUP(A208,'[1]Point of Sale Analysis'!$A:$A,'[1]Point of Sale Analysis'!$B:$B,"not found",0)</f>
        <v>1</v>
      </c>
      <c r="K208" s="1">
        <f t="shared" si="29"/>
        <v>0</v>
      </c>
    </row>
    <row r="209" spans="1:11" x14ac:dyDescent="0.3">
      <c r="A209" s="1" t="s">
        <v>215</v>
      </c>
      <c r="B209" s="1">
        <v>1</v>
      </c>
      <c r="C209" s="1">
        <v>4</v>
      </c>
      <c r="D209" s="1">
        <v>2</v>
      </c>
      <c r="E209" s="1">
        <v>2</v>
      </c>
      <c r="F209" s="1">
        <v>1</v>
      </c>
      <c r="G209" s="1">
        <v>3</v>
      </c>
      <c r="H209" s="1">
        <v>0</v>
      </c>
      <c r="I209" s="1">
        <f t="shared" si="28"/>
        <v>3</v>
      </c>
      <c r="J209" s="1">
        <f>_xlfn.XLOOKUP(A209,'[1]Point of Sale Analysis'!$A:$A,'[1]Point of Sale Analysis'!$B:$B,"not found",0)</f>
        <v>3</v>
      </c>
      <c r="K209" s="1">
        <f t="shared" si="29"/>
        <v>0</v>
      </c>
    </row>
    <row r="210" spans="1:11" x14ac:dyDescent="0.3">
      <c r="A210" s="1" t="s">
        <v>216</v>
      </c>
      <c r="B210" s="1">
        <v>1</v>
      </c>
      <c r="C210" s="1">
        <v>4</v>
      </c>
      <c r="D210" s="1">
        <v>2</v>
      </c>
      <c r="E210" s="1">
        <v>4</v>
      </c>
      <c r="F210" s="1">
        <v>14</v>
      </c>
      <c r="G210" s="1">
        <v>1</v>
      </c>
      <c r="H210" s="1">
        <v>2</v>
      </c>
      <c r="I210" s="1">
        <f t="shared" si="28"/>
        <v>3</v>
      </c>
      <c r="J210" s="1">
        <f>_xlfn.XLOOKUP(A210,'[1]Point of Sale Analysis'!$A:$A,'[1]Point of Sale Analysis'!$B:$B,"not found",0)</f>
        <v>2</v>
      </c>
      <c r="K210" s="1">
        <f t="shared" si="29"/>
        <v>1</v>
      </c>
    </row>
    <row r="211" spans="1:11" x14ac:dyDescent="0.3">
      <c r="A211" s="1" t="s">
        <v>217</v>
      </c>
      <c r="B211" s="1"/>
      <c r="C211" s="1"/>
      <c r="D211" s="1"/>
      <c r="E211" s="1">
        <v>3</v>
      </c>
      <c r="F211" s="1">
        <v>9</v>
      </c>
      <c r="G211" s="1">
        <v>0</v>
      </c>
      <c r="H211" s="1">
        <v>3</v>
      </c>
      <c r="I211" s="1">
        <f t="shared" si="28"/>
        <v>3</v>
      </c>
      <c r="J211" s="1">
        <f>_xlfn.XLOOKUP(A211,'[1]Point of Sale Analysis'!$A:$A,'[1]Point of Sale Analysis'!$B:$B,"not found",0)</f>
        <v>6</v>
      </c>
      <c r="K211" s="1">
        <f t="shared" si="29"/>
        <v>3</v>
      </c>
    </row>
    <row r="212" spans="1:11" x14ac:dyDescent="0.3">
      <c r="A212" s="1" t="s">
        <v>218</v>
      </c>
      <c r="B212" s="1">
        <v>5</v>
      </c>
      <c r="C212" s="1">
        <v>9</v>
      </c>
      <c r="D212" s="1">
        <v>13</v>
      </c>
      <c r="E212" s="1">
        <v>4</v>
      </c>
      <c r="F212" s="1">
        <v>23</v>
      </c>
      <c r="G212" s="1">
        <v>1</v>
      </c>
      <c r="H212" s="1">
        <v>6</v>
      </c>
      <c r="I212" s="1">
        <f t="shared" si="28"/>
        <v>7</v>
      </c>
      <c r="J212" s="1">
        <f>_xlfn.XLOOKUP(A212,'[1]Point of Sale Analysis'!$A:$A,'[1]Point of Sale Analysis'!$B:$B,"not found",0)</f>
        <v>3</v>
      </c>
      <c r="K212" s="1">
        <f t="shared" si="29"/>
        <v>4</v>
      </c>
    </row>
    <row r="213" spans="1:11" x14ac:dyDescent="0.3">
      <c r="A213" s="1" t="s">
        <v>219</v>
      </c>
      <c r="B213" s="1">
        <v>14</v>
      </c>
      <c r="C213" s="1">
        <v>21</v>
      </c>
      <c r="D213" s="1">
        <v>9</v>
      </c>
      <c r="E213" s="1">
        <v>11</v>
      </c>
      <c r="F213" s="1">
        <v>41</v>
      </c>
      <c r="G213" s="1">
        <v>3</v>
      </c>
      <c r="H213" s="1">
        <v>9</v>
      </c>
      <c r="I213" s="1">
        <f t="shared" si="28"/>
        <v>12</v>
      </c>
      <c r="J213" s="1">
        <f>_xlfn.XLOOKUP(A213,'[1]Point of Sale Analysis'!$A:$A,'[1]Point of Sale Analysis'!$B:$B,"not found",0)</f>
        <v>9</v>
      </c>
      <c r="K213" s="1">
        <f t="shared" si="29"/>
        <v>3</v>
      </c>
    </row>
    <row r="214" spans="1:11" hidden="1" x14ac:dyDescent="0.3">
      <c r="A214" t="s">
        <v>220</v>
      </c>
      <c r="C214">
        <v>1</v>
      </c>
      <c r="D214">
        <v>8</v>
      </c>
      <c r="E214">
        <v>1</v>
      </c>
      <c r="F214">
        <v>9</v>
      </c>
      <c r="G214">
        <v>3</v>
      </c>
      <c r="H214">
        <v>0</v>
      </c>
      <c r="I214">
        <f t="shared" si="28"/>
        <v>3</v>
      </c>
      <c r="J214" t="str">
        <f>_xlfn.XLOOKUP(A214,'[1]Point of Sale Analysis'!$A:$A,'[1]Point of Sale Analysis'!$B:$B,"not found",0)</f>
        <v>not found</v>
      </c>
    </row>
    <row r="215" spans="1:11" x14ac:dyDescent="0.3">
      <c r="A215" s="1" t="s">
        <v>221</v>
      </c>
      <c r="B215" s="1"/>
      <c r="C215" s="1"/>
      <c r="D215" s="1"/>
      <c r="E215" s="1">
        <v>2</v>
      </c>
      <c r="F215" s="1">
        <v>0</v>
      </c>
      <c r="G215" s="1">
        <v>1</v>
      </c>
      <c r="H215" s="1">
        <v>1</v>
      </c>
      <c r="I215" s="1">
        <f t="shared" si="28"/>
        <v>2</v>
      </c>
      <c r="J215" s="1">
        <f>_xlfn.XLOOKUP(A215,'[1]Point of Sale Analysis'!$A:$A,'[1]Point of Sale Analysis'!$B:$B,"not found",0)</f>
        <v>3</v>
      </c>
      <c r="K215" s="1">
        <f t="shared" ref="K215:K218" si="30">ABS(J215-I215)</f>
        <v>1</v>
      </c>
    </row>
    <row r="216" spans="1:11" x14ac:dyDescent="0.3">
      <c r="A216" s="1" t="s">
        <v>222</v>
      </c>
      <c r="B216" s="1">
        <v>4</v>
      </c>
      <c r="C216" s="1">
        <v>1</v>
      </c>
      <c r="D216" s="1">
        <v>1</v>
      </c>
      <c r="E216" s="1">
        <v>7</v>
      </c>
      <c r="F216" s="1">
        <v>21</v>
      </c>
      <c r="G216" s="1">
        <v>11</v>
      </c>
      <c r="H216" s="1">
        <v>0</v>
      </c>
      <c r="I216" s="1">
        <f t="shared" si="28"/>
        <v>11</v>
      </c>
      <c r="J216" s="1">
        <f>_xlfn.XLOOKUP(A216,'[1]Point of Sale Analysis'!$A:$A,'[1]Point of Sale Analysis'!$B:$B,"not found",0)</f>
        <v>2</v>
      </c>
      <c r="K216" s="1">
        <f t="shared" si="30"/>
        <v>9</v>
      </c>
    </row>
    <row r="217" spans="1:11" x14ac:dyDescent="0.3">
      <c r="A217" s="1" t="s">
        <v>223</v>
      </c>
      <c r="B217" s="1"/>
      <c r="C217" s="1"/>
      <c r="D217" s="1"/>
      <c r="E217" s="1">
        <v>1</v>
      </c>
      <c r="F217" s="1">
        <v>28</v>
      </c>
      <c r="G217" s="1">
        <v>7</v>
      </c>
      <c r="H217" s="1">
        <v>0</v>
      </c>
      <c r="I217" s="1">
        <f t="shared" si="28"/>
        <v>7</v>
      </c>
      <c r="J217" s="1">
        <f>_xlfn.XLOOKUP(A217,'[1]Point of Sale Analysis'!$A:$A,'[1]Point of Sale Analysis'!$B:$B,"not found",0)</f>
        <v>1</v>
      </c>
      <c r="K217" s="1">
        <f t="shared" si="30"/>
        <v>6</v>
      </c>
    </row>
    <row r="218" spans="1:11" x14ac:dyDescent="0.3">
      <c r="A218" s="1" t="s">
        <v>224</v>
      </c>
      <c r="B218" s="1">
        <v>4</v>
      </c>
      <c r="C218" s="1">
        <v>9</v>
      </c>
      <c r="D218" s="1">
        <v>7</v>
      </c>
      <c r="E218" s="1">
        <v>6</v>
      </c>
      <c r="F218" s="1">
        <v>26</v>
      </c>
      <c r="G218" s="1">
        <v>10</v>
      </c>
      <c r="H218" s="1">
        <v>0</v>
      </c>
      <c r="I218" s="1">
        <f t="shared" si="28"/>
        <v>10</v>
      </c>
      <c r="J218" s="1">
        <f>_xlfn.XLOOKUP(A218,'[1]Point of Sale Analysis'!$A:$A,'[1]Point of Sale Analysis'!$B:$B,"not found",0)</f>
        <v>6</v>
      </c>
      <c r="K218" s="1">
        <f t="shared" si="30"/>
        <v>4</v>
      </c>
    </row>
    <row r="219" spans="1:11" hidden="1" x14ac:dyDescent="0.3">
      <c r="A219" t="s">
        <v>225</v>
      </c>
      <c r="B219">
        <v>2</v>
      </c>
      <c r="D219">
        <v>1</v>
      </c>
      <c r="E219">
        <v>1</v>
      </c>
      <c r="F219">
        <v>21</v>
      </c>
      <c r="G219">
        <v>5</v>
      </c>
      <c r="H219">
        <v>0</v>
      </c>
      <c r="I219">
        <f t="shared" si="28"/>
        <v>5</v>
      </c>
      <c r="J219" t="str">
        <f>_xlfn.XLOOKUP(A219,'[1]Point of Sale Analysis'!$A:$A,'[1]Point of Sale Analysis'!$B:$B,"not found",0)</f>
        <v>not found</v>
      </c>
    </row>
    <row r="220" spans="1:11" x14ac:dyDescent="0.3">
      <c r="A220" s="1" t="s">
        <v>226</v>
      </c>
      <c r="B220" s="1">
        <v>5</v>
      </c>
      <c r="C220" s="1">
        <v>3</v>
      </c>
      <c r="D220" s="1">
        <v>5</v>
      </c>
      <c r="E220" s="1">
        <v>7</v>
      </c>
      <c r="F220" s="1">
        <v>0</v>
      </c>
      <c r="G220" s="1">
        <v>1</v>
      </c>
      <c r="H220" s="1">
        <v>4</v>
      </c>
      <c r="I220" s="1">
        <f t="shared" si="28"/>
        <v>5</v>
      </c>
      <c r="J220" s="1">
        <f>_xlfn.XLOOKUP(A220,'[1]Point of Sale Analysis'!$A:$A,'[1]Point of Sale Analysis'!$B:$B,"not found",0)</f>
        <v>3</v>
      </c>
      <c r="K220" s="1">
        <f t="shared" ref="K220:K222" si="31">ABS(J220-I220)</f>
        <v>2</v>
      </c>
    </row>
    <row r="221" spans="1:11" x14ac:dyDescent="0.3">
      <c r="A221" s="1" t="s">
        <v>227</v>
      </c>
      <c r="B221" s="1">
        <v>8</v>
      </c>
      <c r="C221" s="1">
        <v>5</v>
      </c>
      <c r="D221" s="1">
        <v>10</v>
      </c>
      <c r="E221" s="1">
        <v>4</v>
      </c>
      <c r="F221" s="1">
        <v>55</v>
      </c>
      <c r="G221" s="1">
        <v>10</v>
      </c>
      <c r="H221" s="1">
        <v>0</v>
      </c>
      <c r="I221" s="1">
        <f t="shared" si="28"/>
        <v>10</v>
      </c>
      <c r="J221" s="1">
        <f>_xlfn.XLOOKUP(A221,'[1]Point of Sale Analysis'!$A:$A,'[1]Point of Sale Analysis'!$B:$B,"not found",0)</f>
        <v>1</v>
      </c>
      <c r="K221" s="1">
        <f t="shared" si="31"/>
        <v>9</v>
      </c>
    </row>
    <row r="222" spans="1:11" x14ac:dyDescent="0.3">
      <c r="A222" s="1" t="s">
        <v>228</v>
      </c>
      <c r="B222" s="1">
        <v>13</v>
      </c>
      <c r="C222" s="1">
        <v>9</v>
      </c>
      <c r="D222" s="1">
        <v>3</v>
      </c>
      <c r="E222" s="1">
        <v>8</v>
      </c>
      <c r="F222" s="1">
        <v>37</v>
      </c>
      <c r="G222" s="1">
        <v>5</v>
      </c>
      <c r="H222" s="1">
        <v>3</v>
      </c>
      <c r="I222" s="1">
        <f t="shared" si="28"/>
        <v>8</v>
      </c>
      <c r="J222" s="1">
        <f>_xlfn.XLOOKUP(A222,'[1]Point of Sale Analysis'!$A:$A,'[1]Point of Sale Analysis'!$B:$B,"not found",0)</f>
        <v>4</v>
      </c>
      <c r="K222" s="1">
        <f t="shared" si="31"/>
        <v>4</v>
      </c>
    </row>
    <row r="223" spans="1:11" hidden="1" x14ac:dyDescent="0.3">
      <c r="A223" t="s">
        <v>229</v>
      </c>
      <c r="B223">
        <v>8</v>
      </c>
      <c r="C223">
        <v>4</v>
      </c>
      <c r="F223">
        <v>27</v>
      </c>
      <c r="G223">
        <v>16</v>
      </c>
      <c r="H223">
        <v>0</v>
      </c>
      <c r="I223">
        <f t="shared" si="28"/>
        <v>16</v>
      </c>
      <c r="J223" t="str">
        <f>_xlfn.XLOOKUP(A223,'[1]Point of Sale Analysis'!$A:$A,'[1]Point of Sale Analysis'!$B:$B,"not found",0)</f>
        <v>not found</v>
      </c>
    </row>
    <row r="224" spans="1:11" hidden="1" x14ac:dyDescent="0.3">
      <c r="A224" t="s">
        <v>230</v>
      </c>
      <c r="B224">
        <v>2</v>
      </c>
      <c r="C224">
        <v>1</v>
      </c>
      <c r="D224">
        <v>1</v>
      </c>
      <c r="F224">
        <v>27</v>
      </c>
      <c r="G224">
        <v>8</v>
      </c>
      <c r="H224">
        <v>0</v>
      </c>
      <c r="I224">
        <f t="shared" si="28"/>
        <v>8</v>
      </c>
      <c r="J224" t="str">
        <f>_xlfn.XLOOKUP(A224,'[1]Point of Sale Analysis'!$A:$A,'[1]Point of Sale Analysis'!$B:$B,"not found",0)</f>
        <v>not found</v>
      </c>
    </row>
    <row r="225" spans="1:11" x14ac:dyDescent="0.3">
      <c r="A225" s="1" t="s">
        <v>231</v>
      </c>
      <c r="B225" s="1">
        <v>4</v>
      </c>
      <c r="C225" s="1"/>
      <c r="D225" s="1"/>
      <c r="E225" s="1">
        <v>3</v>
      </c>
      <c r="F225" s="1">
        <v>0</v>
      </c>
      <c r="G225" s="1">
        <v>3</v>
      </c>
      <c r="H225" s="1">
        <v>0</v>
      </c>
      <c r="I225" s="1">
        <f t="shared" si="28"/>
        <v>3</v>
      </c>
      <c r="J225" s="1">
        <f>_xlfn.XLOOKUP(A225,'[1]Point of Sale Analysis'!$A:$A,'[1]Point of Sale Analysis'!$B:$B,"not found",0)</f>
        <v>5</v>
      </c>
      <c r="K225" s="1">
        <f t="shared" ref="K225:K227" si="32">ABS(J225-I225)</f>
        <v>2</v>
      </c>
    </row>
    <row r="226" spans="1:11" x14ac:dyDescent="0.3">
      <c r="A226" s="1" t="s">
        <v>232</v>
      </c>
      <c r="B226" s="1">
        <v>4</v>
      </c>
      <c r="C226" s="1">
        <v>4</v>
      </c>
      <c r="D226" s="1">
        <v>6</v>
      </c>
      <c r="E226" s="1">
        <v>1</v>
      </c>
      <c r="F226" s="1">
        <v>5</v>
      </c>
      <c r="G226" s="1">
        <v>2</v>
      </c>
      <c r="H226" s="1">
        <v>2</v>
      </c>
      <c r="I226" s="1">
        <f t="shared" si="28"/>
        <v>4</v>
      </c>
      <c r="J226" s="1">
        <f>_xlfn.XLOOKUP(A226,'[1]Point of Sale Analysis'!$A:$A,'[1]Point of Sale Analysis'!$B:$B,"not found",0)</f>
        <v>5</v>
      </c>
      <c r="K226" s="1">
        <f t="shared" si="32"/>
        <v>1</v>
      </c>
    </row>
    <row r="227" spans="1:11" x14ac:dyDescent="0.3">
      <c r="A227" s="1" t="s">
        <v>233</v>
      </c>
      <c r="B227" s="1">
        <v>4</v>
      </c>
      <c r="C227" s="1">
        <v>4</v>
      </c>
      <c r="D227" s="1">
        <v>2</v>
      </c>
      <c r="E227" s="1">
        <v>2</v>
      </c>
      <c r="F227" s="1">
        <v>22</v>
      </c>
      <c r="G227" s="1">
        <v>11</v>
      </c>
      <c r="H227" s="1">
        <v>0</v>
      </c>
      <c r="I227" s="1">
        <f t="shared" si="28"/>
        <v>11</v>
      </c>
      <c r="J227" s="1">
        <f>_xlfn.XLOOKUP(A227,'[1]Point of Sale Analysis'!$A:$A,'[1]Point of Sale Analysis'!$B:$B,"not found",0)</f>
        <v>4</v>
      </c>
      <c r="K227" s="1">
        <f t="shared" si="32"/>
        <v>7</v>
      </c>
    </row>
    <row r="228" spans="1:11" hidden="1" x14ac:dyDescent="0.3">
      <c r="A228" t="s">
        <v>234</v>
      </c>
      <c r="B228">
        <v>1</v>
      </c>
      <c r="D228">
        <v>2</v>
      </c>
      <c r="E228">
        <v>1</v>
      </c>
      <c r="F228">
        <v>4</v>
      </c>
      <c r="G228">
        <v>4</v>
      </c>
      <c r="H228">
        <v>0</v>
      </c>
      <c r="I228">
        <f t="shared" si="28"/>
        <v>4</v>
      </c>
      <c r="J228" t="str">
        <f>_xlfn.XLOOKUP(A228,'[1]Point of Sale Analysis'!$A:$A,'[1]Point of Sale Analysis'!$B:$B,"not found",0)</f>
        <v>not found</v>
      </c>
    </row>
    <row r="229" spans="1:11" x14ac:dyDescent="0.3">
      <c r="A229" s="1" t="s">
        <v>235</v>
      </c>
      <c r="B229" s="1">
        <v>6</v>
      </c>
      <c r="C229" s="1">
        <v>4</v>
      </c>
      <c r="D229" s="1">
        <v>3</v>
      </c>
      <c r="E229" s="1">
        <v>6</v>
      </c>
      <c r="F229" s="1">
        <v>7</v>
      </c>
      <c r="G229" s="1">
        <v>6</v>
      </c>
      <c r="H229" s="1">
        <v>0</v>
      </c>
      <c r="I229" s="1">
        <f t="shared" si="28"/>
        <v>6</v>
      </c>
      <c r="J229" s="1">
        <f>_xlfn.XLOOKUP(A229,'[1]Point of Sale Analysis'!$A:$A,'[1]Point of Sale Analysis'!$B:$B,"not found",0)</f>
        <v>2</v>
      </c>
      <c r="K229" s="1">
        <f t="shared" ref="K229:K231" si="33">ABS(J229-I229)</f>
        <v>4</v>
      </c>
    </row>
    <row r="230" spans="1:11" x14ac:dyDescent="0.3">
      <c r="A230" s="1" t="s">
        <v>236</v>
      </c>
      <c r="B230" s="1">
        <v>2</v>
      </c>
      <c r="C230" s="1">
        <v>3</v>
      </c>
      <c r="D230" s="1">
        <v>4</v>
      </c>
      <c r="E230" s="1">
        <v>3</v>
      </c>
      <c r="F230" s="1">
        <v>9</v>
      </c>
      <c r="G230" s="1">
        <v>5</v>
      </c>
      <c r="H230" s="1">
        <v>0</v>
      </c>
      <c r="I230" s="1">
        <f t="shared" si="28"/>
        <v>5</v>
      </c>
      <c r="J230" s="1">
        <f>_xlfn.XLOOKUP(A230,'[1]Point of Sale Analysis'!$A:$A,'[1]Point of Sale Analysis'!$B:$B,"not found",0)</f>
        <v>4</v>
      </c>
      <c r="K230" s="1">
        <f t="shared" si="33"/>
        <v>1</v>
      </c>
    </row>
    <row r="231" spans="1:11" x14ac:dyDescent="0.3">
      <c r="A231" s="1" t="s">
        <v>237</v>
      </c>
      <c r="B231" s="1">
        <v>14</v>
      </c>
      <c r="C231" s="1">
        <v>9</v>
      </c>
      <c r="D231" s="1">
        <v>10</v>
      </c>
      <c r="E231" s="1">
        <v>7</v>
      </c>
      <c r="F231" s="1">
        <v>27</v>
      </c>
      <c r="G231" s="1">
        <v>9</v>
      </c>
      <c r="H231" s="1">
        <v>0</v>
      </c>
      <c r="I231" s="1">
        <f t="shared" si="28"/>
        <v>9</v>
      </c>
      <c r="J231" s="1">
        <f>_xlfn.XLOOKUP(A231,'[1]Point of Sale Analysis'!$A:$A,'[1]Point of Sale Analysis'!$B:$B,"not found",0)</f>
        <v>8</v>
      </c>
      <c r="K231" s="1">
        <f t="shared" si="33"/>
        <v>1</v>
      </c>
    </row>
    <row r="232" spans="1:11" hidden="1" x14ac:dyDescent="0.3">
      <c r="A232" t="s">
        <v>238</v>
      </c>
      <c r="B232">
        <v>4</v>
      </c>
      <c r="C232">
        <v>7</v>
      </c>
      <c r="D232">
        <v>8</v>
      </c>
      <c r="E232">
        <v>5</v>
      </c>
      <c r="F232">
        <v>0</v>
      </c>
      <c r="G232">
        <v>5</v>
      </c>
      <c r="H232">
        <v>1</v>
      </c>
      <c r="I232">
        <f t="shared" si="28"/>
        <v>6</v>
      </c>
      <c r="J232" t="str">
        <f>_xlfn.XLOOKUP(A232,'[1]Point of Sale Analysis'!$A:$A,'[1]Point of Sale Analysis'!$B:$B,"not found",0)</f>
        <v>not found</v>
      </c>
    </row>
    <row r="233" spans="1:11" x14ac:dyDescent="0.3">
      <c r="A233" s="1" t="s">
        <v>239</v>
      </c>
      <c r="B233" s="1">
        <v>18</v>
      </c>
      <c r="C233" s="1">
        <v>9</v>
      </c>
      <c r="D233" s="1">
        <v>15</v>
      </c>
      <c r="E233" s="1">
        <v>14</v>
      </c>
      <c r="F233" s="1">
        <v>28</v>
      </c>
      <c r="G233" s="1">
        <v>4</v>
      </c>
      <c r="H233" s="1">
        <v>10</v>
      </c>
      <c r="I233" s="1">
        <f t="shared" si="28"/>
        <v>14</v>
      </c>
      <c r="J233" s="1">
        <f>_xlfn.XLOOKUP(A233,'[1]Point of Sale Analysis'!$A:$A,'[1]Point of Sale Analysis'!$B:$B,"not found",0)</f>
        <v>10</v>
      </c>
      <c r="K233" s="1">
        <f t="shared" ref="K233:K238" si="34">ABS(J233-I233)</f>
        <v>4</v>
      </c>
    </row>
    <row r="234" spans="1:11" x14ac:dyDescent="0.3">
      <c r="A234" s="1" t="s">
        <v>240</v>
      </c>
      <c r="B234" s="1">
        <v>6</v>
      </c>
      <c r="C234" s="1">
        <v>9</v>
      </c>
      <c r="D234" s="1">
        <v>9</v>
      </c>
      <c r="E234" s="1">
        <v>9</v>
      </c>
      <c r="F234" s="1">
        <v>37</v>
      </c>
      <c r="G234" s="1">
        <v>10</v>
      </c>
      <c r="H234" s="1">
        <v>0</v>
      </c>
      <c r="I234" s="1">
        <f t="shared" si="28"/>
        <v>10</v>
      </c>
      <c r="J234" s="1">
        <f>_xlfn.XLOOKUP(A234,'[1]Point of Sale Analysis'!$A:$A,'[1]Point of Sale Analysis'!$B:$B,"not found",0)</f>
        <v>14</v>
      </c>
      <c r="K234" s="1">
        <f t="shared" si="34"/>
        <v>4</v>
      </c>
    </row>
    <row r="235" spans="1:11" x14ac:dyDescent="0.3">
      <c r="A235" s="1" t="s">
        <v>241</v>
      </c>
      <c r="B235" s="1">
        <v>13</v>
      </c>
      <c r="C235" s="1">
        <v>16</v>
      </c>
      <c r="D235" s="1">
        <v>10</v>
      </c>
      <c r="E235" s="1">
        <v>7</v>
      </c>
      <c r="F235" s="1">
        <v>38</v>
      </c>
      <c r="G235" s="1">
        <v>11</v>
      </c>
      <c r="H235" s="1">
        <v>0</v>
      </c>
      <c r="I235" s="1">
        <f t="shared" si="28"/>
        <v>11</v>
      </c>
      <c r="J235" s="1">
        <f>_xlfn.XLOOKUP(A235,'[1]Point of Sale Analysis'!$A:$A,'[1]Point of Sale Analysis'!$B:$B,"not found",0)</f>
        <v>8</v>
      </c>
      <c r="K235" s="1">
        <f t="shared" si="34"/>
        <v>3</v>
      </c>
    </row>
    <row r="236" spans="1:11" x14ac:dyDescent="0.3">
      <c r="A236" s="1" t="s">
        <v>242</v>
      </c>
      <c r="B236" s="1"/>
      <c r="C236" s="1"/>
      <c r="D236" s="1">
        <v>1</v>
      </c>
      <c r="E236" s="1">
        <v>2</v>
      </c>
      <c r="F236" s="1">
        <v>5</v>
      </c>
      <c r="G236" s="1">
        <v>3</v>
      </c>
      <c r="H236" s="1">
        <v>0</v>
      </c>
      <c r="I236" s="1">
        <f t="shared" si="28"/>
        <v>3</v>
      </c>
      <c r="J236" s="1">
        <f>_xlfn.XLOOKUP(A236,'[1]Point of Sale Analysis'!$A:$A,'[1]Point of Sale Analysis'!$B:$B,"not found",0)</f>
        <v>1</v>
      </c>
      <c r="K236" s="1">
        <f t="shared" si="34"/>
        <v>2</v>
      </c>
    </row>
    <row r="237" spans="1:11" x14ac:dyDescent="0.3">
      <c r="A237" s="1" t="s">
        <v>243</v>
      </c>
      <c r="B237" s="1">
        <v>3</v>
      </c>
      <c r="C237" s="1">
        <v>5</v>
      </c>
      <c r="D237" s="1">
        <v>2</v>
      </c>
      <c r="E237" s="1">
        <v>1</v>
      </c>
      <c r="F237" s="1">
        <v>4</v>
      </c>
      <c r="G237" s="1">
        <v>5</v>
      </c>
      <c r="H237" s="1">
        <v>0</v>
      </c>
      <c r="I237" s="1">
        <f t="shared" si="28"/>
        <v>5</v>
      </c>
      <c r="J237" s="1">
        <f>_xlfn.XLOOKUP(A237,'[1]Point of Sale Analysis'!$A:$A,'[1]Point of Sale Analysis'!$B:$B,"not found",0)</f>
        <v>1</v>
      </c>
      <c r="K237" s="1">
        <f t="shared" si="34"/>
        <v>4</v>
      </c>
    </row>
    <row r="238" spans="1:11" x14ac:dyDescent="0.3">
      <c r="A238" s="1" t="s">
        <v>244</v>
      </c>
      <c r="B238" s="1">
        <v>6</v>
      </c>
      <c r="C238" s="1">
        <v>3</v>
      </c>
      <c r="D238" s="1">
        <v>4</v>
      </c>
      <c r="E238" s="1">
        <v>2</v>
      </c>
      <c r="F238" s="1">
        <v>0</v>
      </c>
      <c r="G238" s="1">
        <v>0</v>
      </c>
      <c r="H238" s="1">
        <v>3</v>
      </c>
      <c r="I238" s="1">
        <f t="shared" si="28"/>
        <v>3</v>
      </c>
      <c r="J238" s="1">
        <f>_xlfn.XLOOKUP(A238,'[1]Point of Sale Analysis'!$A:$A,'[1]Point of Sale Analysis'!$B:$B,"not found",0)</f>
        <v>2</v>
      </c>
      <c r="K238" s="1">
        <f t="shared" si="34"/>
        <v>1</v>
      </c>
    </row>
    <row r="239" spans="1:11" hidden="1" x14ac:dyDescent="0.3">
      <c r="A239" t="s">
        <v>245</v>
      </c>
      <c r="B239">
        <v>2</v>
      </c>
      <c r="E239">
        <v>1</v>
      </c>
      <c r="F239">
        <v>164</v>
      </c>
      <c r="G239">
        <v>5</v>
      </c>
      <c r="H239">
        <v>0</v>
      </c>
      <c r="I239">
        <f t="shared" si="28"/>
        <v>5</v>
      </c>
      <c r="J239" t="str">
        <f>_xlfn.XLOOKUP(A239,'[1]Point of Sale Analysis'!$A:$A,'[1]Point of Sale Analysis'!$B:$B,"not found",0)</f>
        <v>not found</v>
      </c>
    </row>
    <row r="240" spans="1:11" x14ac:dyDescent="0.3">
      <c r="A240" s="1" t="s">
        <v>246</v>
      </c>
      <c r="B240" s="1">
        <v>4</v>
      </c>
      <c r="C240" s="1">
        <v>2</v>
      </c>
      <c r="D240" s="1"/>
      <c r="E240" s="1">
        <v>4</v>
      </c>
      <c r="F240" s="1">
        <v>51</v>
      </c>
      <c r="G240" s="1">
        <v>5</v>
      </c>
      <c r="H240" s="1">
        <v>0</v>
      </c>
      <c r="I240" s="1">
        <f t="shared" si="28"/>
        <v>5</v>
      </c>
      <c r="J240" s="1">
        <f>_xlfn.XLOOKUP(A240,'[1]Point of Sale Analysis'!$A:$A,'[1]Point of Sale Analysis'!$B:$B,"not found",0)</f>
        <v>2</v>
      </c>
      <c r="K240" s="1">
        <f>ABS(J240-I240)</f>
        <v>3</v>
      </c>
    </row>
    <row r="241" spans="1:11" hidden="1" x14ac:dyDescent="0.3">
      <c r="A241" t="s">
        <v>247</v>
      </c>
      <c r="B241">
        <v>4</v>
      </c>
      <c r="C241">
        <v>3</v>
      </c>
      <c r="D241">
        <v>6</v>
      </c>
      <c r="E241">
        <v>4</v>
      </c>
      <c r="F241">
        <v>35</v>
      </c>
      <c r="G241">
        <v>1</v>
      </c>
      <c r="H241">
        <v>3</v>
      </c>
      <c r="I241">
        <f t="shared" si="28"/>
        <v>4</v>
      </c>
      <c r="J241" t="str">
        <f>_xlfn.XLOOKUP(A241,'[1]Point of Sale Analysis'!$A:$A,'[1]Point of Sale Analysis'!$B:$B,"not found",0)</f>
        <v>not found</v>
      </c>
    </row>
    <row r="242" spans="1:11" hidden="1" x14ac:dyDescent="0.3">
      <c r="A242" t="s">
        <v>248</v>
      </c>
      <c r="B242">
        <v>10</v>
      </c>
      <c r="C242">
        <v>14</v>
      </c>
      <c r="D242">
        <v>16</v>
      </c>
      <c r="F242">
        <v>0</v>
      </c>
      <c r="G242">
        <v>0</v>
      </c>
      <c r="H242">
        <v>14</v>
      </c>
      <c r="I242">
        <f t="shared" si="28"/>
        <v>14</v>
      </c>
      <c r="J242" t="str">
        <f>_xlfn.XLOOKUP(A242,'[1]Point of Sale Analysis'!$A:$A,'[1]Point of Sale Analysis'!$B:$B,"not found",0)</f>
        <v>not found</v>
      </c>
    </row>
    <row r="243" spans="1:11" x14ac:dyDescent="0.3">
      <c r="A243" s="1" t="s">
        <v>249</v>
      </c>
      <c r="B243" s="1">
        <v>8</v>
      </c>
      <c r="C243" s="1">
        <v>1</v>
      </c>
      <c r="D243" s="1">
        <v>1</v>
      </c>
      <c r="E243" s="1">
        <v>4</v>
      </c>
      <c r="F243" s="1">
        <v>46</v>
      </c>
      <c r="G243" s="1">
        <v>1</v>
      </c>
      <c r="H243" s="1">
        <v>1</v>
      </c>
      <c r="I243" s="1">
        <f t="shared" si="28"/>
        <v>2</v>
      </c>
      <c r="J243" s="1">
        <f>_xlfn.XLOOKUP(A243,'[1]Point of Sale Analysis'!$A:$A,'[1]Point of Sale Analysis'!$B:$B,"not found",0)</f>
        <v>3</v>
      </c>
      <c r="K243" s="1">
        <f>ABS(J243-I243)</f>
        <v>1</v>
      </c>
    </row>
    <row r="244" spans="1:11" hidden="1" x14ac:dyDescent="0.3">
      <c r="A244" t="s">
        <v>250</v>
      </c>
      <c r="B244">
        <v>6</v>
      </c>
      <c r="C244">
        <v>9</v>
      </c>
      <c r="D244">
        <v>3</v>
      </c>
      <c r="F244">
        <v>36</v>
      </c>
      <c r="G244">
        <v>2</v>
      </c>
      <c r="H244">
        <v>4</v>
      </c>
      <c r="I244">
        <f t="shared" si="28"/>
        <v>6</v>
      </c>
      <c r="J244" t="str">
        <f>_xlfn.XLOOKUP(A244,'[1]Point of Sale Analysis'!$A:$A,'[1]Point of Sale Analysis'!$B:$B,"not found",0)</f>
        <v>not found</v>
      </c>
    </row>
    <row r="245" spans="1:11" x14ac:dyDescent="0.3">
      <c r="A245" s="1" t="s">
        <v>251</v>
      </c>
      <c r="B245" s="1">
        <v>6</v>
      </c>
      <c r="C245" s="1">
        <v>13</v>
      </c>
      <c r="D245" s="1">
        <v>14</v>
      </c>
      <c r="E245" s="1">
        <v>2</v>
      </c>
      <c r="F245" s="1">
        <v>43</v>
      </c>
      <c r="G245" s="1">
        <v>5</v>
      </c>
      <c r="H245" s="1">
        <v>4</v>
      </c>
      <c r="I245" s="1">
        <f t="shared" si="28"/>
        <v>9</v>
      </c>
      <c r="J245" s="1">
        <f>_xlfn.XLOOKUP(A245,'[1]Point of Sale Analysis'!$A:$A,'[1]Point of Sale Analysis'!$B:$B,"not found",0)</f>
        <v>1</v>
      </c>
      <c r="K245" s="1">
        <f>ABS(J245-I245)</f>
        <v>8</v>
      </c>
    </row>
    <row r="246" spans="1:11" hidden="1" x14ac:dyDescent="0.3">
      <c r="A246" t="s">
        <v>252</v>
      </c>
      <c r="B246">
        <v>5</v>
      </c>
      <c r="C246">
        <v>17</v>
      </c>
      <c r="D246">
        <v>13</v>
      </c>
      <c r="E246">
        <v>6</v>
      </c>
      <c r="F246">
        <v>38</v>
      </c>
      <c r="G246">
        <v>10</v>
      </c>
      <c r="H246">
        <v>0</v>
      </c>
      <c r="I246">
        <f t="shared" si="28"/>
        <v>10</v>
      </c>
      <c r="J246" t="str">
        <f>_xlfn.XLOOKUP(A246,'[1]Point of Sale Analysis'!$A:$A,'[1]Point of Sale Analysis'!$B:$B,"not found",0)</f>
        <v>not found</v>
      </c>
    </row>
    <row r="247" spans="1:11" x14ac:dyDescent="0.3">
      <c r="A247" s="1" t="s">
        <v>253</v>
      </c>
      <c r="B247" s="1">
        <v>6</v>
      </c>
      <c r="C247" s="1"/>
      <c r="D247" s="1">
        <v>3</v>
      </c>
      <c r="E247" s="1">
        <v>1</v>
      </c>
      <c r="F247" s="1">
        <v>27</v>
      </c>
      <c r="G247" s="1">
        <v>0</v>
      </c>
      <c r="H247" s="1">
        <v>3</v>
      </c>
      <c r="I247" s="1">
        <f t="shared" si="28"/>
        <v>3</v>
      </c>
      <c r="J247" s="1">
        <f>_xlfn.XLOOKUP(A247,'[1]Point of Sale Analysis'!$A:$A,'[1]Point of Sale Analysis'!$B:$B,"not found",0)</f>
        <v>1</v>
      </c>
      <c r="K247" s="1">
        <f t="shared" ref="K247:K248" si="35">ABS(J247-I247)</f>
        <v>2</v>
      </c>
    </row>
    <row r="248" spans="1:11" x14ac:dyDescent="0.3">
      <c r="A248" s="1" t="s">
        <v>254</v>
      </c>
      <c r="B248" s="1">
        <v>5</v>
      </c>
      <c r="C248" s="1">
        <v>2</v>
      </c>
      <c r="D248" s="1">
        <v>4</v>
      </c>
      <c r="E248" s="1">
        <v>2</v>
      </c>
      <c r="F248" s="1">
        <v>31</v>
      </c>
      <c r="G248" s="1">
        <v>9</v>
      </c>
      <c r="H248" s="1">
        <v>0</v>
      </c>
      <c r="I248" s="1">
        <f t="shared" si="28"/>
        <v>9</v>
      </c>
      <c r="J248" s="1">
        <f>_xlfn.XLOOKUP(A248,'[1]Point of Sale Analysis'!$A:$A,'[1]Point of Sale Analysis'!$B:$B,"not found",0)</f>
        <v>4</v>
      </c>
      <c r="K248" s="1">
        <f t="shared" si="35"/>
        <v>5</v>
      </c>
    </row>
    <row r="249" spans="1:11" hidden="1" x14ac:dyDescent="0.3">
      <c r="A249" t="s">
        <v>255</v>
      </c>
      <c r="B249">
        <v>5</v>
      </c>
      <c r="C249">
        <v>2</v>
      </c>
      <c r="D249">
        <v>5</v>
      </c>
      <c r="E249">
        <v>5</v>
      </c>
      <c r="F249">
        <v>50</v>
      </c>
      <c r="G249">
        <v>0</v>
      </c>
      <c r="H249">
        <v>5</v>
      </c>
      <c r="I249">
        <f t="shared" si="28"/>
        <v>5</v>
      </c>
      <c r="J249" t="str">
        <f>_xlfn.XLOOKUP(A249,'[1]Point of Sale Analysis'!$A:$A,'[1]Point of Sale Analysis'!$B:$B,"not found",0)</f>
        <v>not found</v>
      </c>
    </row>
    <row r="250" spans="1:11" x14ac:dyDescent="0.3">
      <c r="A250" s="1" t="s">
        <v>256</v>
      </c>
      <c r="B250" s="1">
        <v>8</v>
      </c>
      <c r="C250" s="1">
        <v>5</v>
      </c>
      <c r="D250" s="1">
        <v>4</v>
      </c>
      <c r="E250" s="1">
        <v>1</v>
      </c>
      <c r="F250" s="1">
        <v>32</v>
      </c>
      <c r="G250" s="1">
        <v>7</v>
      </c>
      <c r="H250" s="1">
        <v>0</v>
      </c>
      <c r="I250" s="1">
        <f t="shared" si="28"/>
        <v>7</v>
      </c>
      <c r="J250" s="1">
        <f>_xlfn.XLOOKUP(A250,'[1]Point of Sale Analysis'!$A:$A,'[1]Point of Sale Analysis'!$B:$B,"not found",0)</f>
        <v>1</v>
      </c>
      <c r="K250" s="1">
        <f t="shared" ref="K250:K251" si="36">ABS(J250-I250)</f>
        <v>6</v>
      </c>
    </row>
    <row r="251" spans="1:11" x14ac:dyDescent="0.3">
      <c r="A251" s="1" t="s">
        <v>257</v>
      </c>
      <c r="B251" s="1">
        <v>4</v>
      </c>
      <c r="C251" s="1">
        <v>7</v>
      </c>
      <c r="D251" s="1">
        <v>5</v>
      </c>
      <c r="E251" s="1">
        <v>5</v>
      </c>
      <c r="F251" s="1">
        <v>46</v>
      </c>
      <c r="G251" s="1">
        <v>7</v>
      </c>
      <c r="H251" s="1">
        <v>0</v>
      </c>
      <c r="I251" s="1">
        <f t="shared" si="28"/>
        <v>7</v>
      </c>
      <c r="J251" s="1">
        <f>_xlfn.XLOOKUP(A251,'[1]Point of Sale Analysis'!$A:$A,'[1]Point of Sale Analysis'!$B:$B,"not found",0)</f>
        <v>1</v>
      </c>
      <c r="K251" s="1">
        <f t="shared" si="36"/>
        <v>6</v>
      </c>
    </row>
    <row r="252" spans="1:11" hidden="1" x14ac:dyDescent="0.3">
      <c r="A252" t="s">
        <v>258</v>
      </c>
      <c r="B252">
        <v>1</v>
      </c>
      <c r="F252">
        <v>22</v>
      </c>
      <c r="G252">
        <v>0</v>
      </c>
      <c r="H252">
        <v>1</v>
      </c>
      <c r="I252">
        <f t="shared" si="28"/>
        <v>1</v>
      </c>
      <c r="J252" t="str">
        <f>_xlfn.XLOOKUP(A252,'[1]Point of Sale Analysis'!$A:$A,'[1]Point of Sale Analysis'!$B:$B,"not found",0)</f>
        <v>not found</v>
      </c>
    </row>
    <row r="253" spans="1:11" x14ac:dyDescent="0.3">
      <c r="A253" s="1" t="s">
        <v>259</v>
      </c>
      <c r="B253" s="1"/>
      <c r="C253" s="1"/>
      <c r="D253" s="1"/>
      <c r="E253" s="1">
        <v>2</v>
      </c>
      <c r="F253" s="1">
        <v>14</v>
      </c>
      <c r="G253" s="1">
        <v>4</v>
      </c>
      <c r="H253" s="1">
        <v>0</v>
      </c>
      <c r="I253" s="1">
        <f t="shared" si="28"/>
        <v>4</v>
      </c>
      <c r="J253" s="1">
        <f>_xlfn.XLOOKUP(A253,'[1]Point of Sale Analysis'!$A:$A,'[1]Point of Sale Analysis'!$B:$B,"not found",0)</f>
        <v>2</v>
      </c>
      <c r="K253" s="1">
        <f t="shared" ref="K253:K255" si="37">ABS(J253-I253)</f>
        <v>2</v>
      </c>
    </row>
    <row r="254" spans="1:11" x14ac:dyDescent="0.3">
      <c r="A254" s="1" t="s">
        <v>260</v>
      </c>
      <c r="B254" s="1">
        <v>3</v>
      </c>
      <c r="C254" s="1">
        <v>1</v>
      </c>
      <c r="D254" s="1">
        <v>5</v>
      </c>
      <c r="E254" s="1">
        <v>4</v>
      </c>
      <c r="F254" s="1">
        <v>34</v>
      </c>
      <c r="G254" s="1">
        <v>4</v>
      </c>
      <c r="H254" s="1">
        <v>0</v>
      </c>
      <c r="I254" s="1">
        <f t="shared" si="28"/>
        <v>4</v>
      </c>
      <c r="J254" s="1">
        <f>_xlfn.XLOOKUP(A254,'[1]Point of Sale Analysis'!$A:$A,'[1]Point of Sale Analysis'!$B:$B,"not found",0)</f>
        <v>3</v>
      </c>
      <c r="K254" s="1">
        <f t="shared" si="37"/>
        <v>1</v>
      </c>
    </row>
    <row r="255" spans="1:11" x14ac:dyDescent="0.3">
      <c r="A255" s="1" t="s">
        <v>261</v>
      </c>
      <c r="B255" s="1">
        <v>4</v>
      </c>
      <c r="C255" s="1"/>
      <c r="D255" s="1">
        <v>5</v>
      </c>
      <c r="E255" s="1">
        <v>2</v>
      </c>
      <c r="F255" s="1">
        <v>25</v>
      </c>
      <c r="G255" s="1">
        <v>5</v>
      </c>
      <c r="H255" s="1">
        <v>0</v>
      </c>
      <c r="I255" s="1">
        <f t="shared" si="28"/>
        <v>5</v>
      </c>
      <c r="J255" s="1">
        <f>_xlfn.XLOOKUP(A255,'[1]Point of Sale Analysis'!$A:$A,'[1]Point of Sale Analysis'!$B:$B,"not found",0)</f>
        <v>3</v>
      </c>
      <c r="K255" s="1">
        <f t="shared" si="37"/>
        <v>2</v>
      </c>
    </row>
    <row r="256" spans="1:11" hidden="1" x14ac:dyDescent="0.3">
      <c r="A256" t="s">
        <v>262</v>
      </c>
      <c r="B256">
        <v>1</v>
      </c>
      <c r="C256">
        <v>2</v>
      </c>
      <c r="F256">
        <v>0</v>
      </c>
      <c r="G256">
        <v>3</v>
      </c>
      <c r="H256">
        <v>0</v>
      </c>
      <c r="I256">
        <f t="shared" si="28"/>
        <v>3</v>
      </c>
      <c r="J256" t="str">
        <f>_xlfn.XLOOKUP(A256,'[1]Point of Sale Analysis'!$A:$A,'[1]Point of Sale Analysis'!$B:$B,"not found",0)</f>
        <v>not found</v>
      </c>
    </row>
    <row r="257" spans="1:11" x14ac:dyDescent="0.3">
      <c r="A257" s="1" t="s">
        <v>263</v>
      </c>
      <c r="B257" s="1">
        <v>2</v>
      </c>
      <c r="C257" s="1">
        <v>6</v>
      </c>
      <c r="D257" s="1">
        <v>6</v>
      </c>
      <c r="E257" s="1">
        <v>2</v>
      </c>
      <c r="F257" s="1">
        <v>31</v>
      </c>
      <c r="G257" s="1">
        <v>8</v>
      </c>
      <c r="H257" s="1">
        <v>0</v>
      </c>
      <c r="I257" s="1">
        <f t="shared" si="28"/>
        <v>8</v>
      </c>
      <c r="J257" s="1">
        <f>_xlfn.XLOOKUP(A257,'[1]Point of Sale Analysis'!$A:$A,'[1]Point of Sale Analysis'!$B:$B,"not found",0)</f>
        <v>2</v>
      </c>
      <c r="K257" s="1">
        <f>ABS(J257-I257)</f>
        <v>6</v>
      </c>
    </row>
    <row r="258" spans="1:11" hidden="1" x14ac:dyDescent="0.3">
      <c r="A258" t="s">
        <v>264</v>
      </c>
      <c r="B258">
        <v>2</v>
      </c>
      <c r="D258">
        <v>1</v>
      </c>
      <c r="F258">
        <v>16</v>
      </c>
      <c r="G258">
        <v>2</v>
      </c>
      <c r="H258">
        <v>0</v>
      </c>
      <c r="I258">
        <f t="shared" si="28"/>
        <v>2</v>
      </c>
      <c r="J258" t="str">
        <f>_xlfn.XLOOKUP(A258,'[1]Point of Sale Analysis'!$A:$A,'[1]Point of Sale Analysis'!$B:$B,"not found",0)</f>
        <v>not found</v>
      </c>
    </row>
    <row r="259" spans="1:11" hidden="1" x14ac:dyDescent="0.3">
      <c r="A259" t="s">
        <v>265</v>
      </c>
      <c r="C259">
        <v>1</v>
      </c>
      <c r="F259">
        <v>20</v>
      </c>
      <c r="G259">
        <v>0</v>
      </c>
      <c r="H259">
        <v>1</v>
      </c>
      <c r="I259">
        <f t="shared" ref="I259:I322" si="38">G259+H259</f>
        <v>1</v>
      </c>
      <c r="J259" t="str">
        <f>_xlfn.XLOOKUP(A259,'[1]Point of Sale Analysis'!$A:$A,'[1]Point of Sale Analysis'!$B:$B,"not found",0)</f>
        <v>not found</v>
      </c>
    </row>
    <row r="260" spans="1:11" x14ac:dyDescent="0.3">
      <c r="A260" s="1" t="s">
        <v>266</v>
      </c>
      <c r="B260" s="1">
        <v>5</v>
      </c>
      <c r="C260" s="1">
        <v>2</v>
      </c>
      <c r="D260" s="1">
        <v>1</v>
      </c>
      <c r="E260" s="1"/>
      <c r="F260" s="1">
        <v>20</v>
      </c>
      <c r="G260" s="1">
        <v>4</v>
      </c>
      <c r="H260" s="1">
        <v>0</v>
      </c>
      <c r="I260" s="1">
        <f t="shared" si="38"/>
        <v>4</v>
      </c>
      <c r="J260" s="1">
        <f>_xlfn.XLOOKUP(A260,'[1]Point of Sale Analysis'!$A:$A,'[1]Point of Sale Analysis'!$B:$B,"not found",0)</f>
        <v>3</v>
      </c>
      <c r="K260" s="1">
        <f>ABS(J260-I260)</f>
        <v>1</v>
      </c>
    </row>
    <row r="261" spans="1:11" hidden="1" x14ac:dyDescent="0.3">
      <c r="A261" t="s">
        <v>267</v>
      </c>
      <c r="B261">
        <v>1</v>
      </c>
      <c r="C261">
        <v>1</v>
      </c>
      <c r="F261">
        <v>1</v>
      </c>
      <c r="G261">
        <v>2</v>
      </c>
      <c r="H261">
        <v>0</v>
      </c>
      <c r="I261">
        <f t="shared" si="38"/>
        <v>2</v>
      </c>
      <c r="J261" t="str">
        <f>_xlfn.XLOOKUP(A261,'[1]Point of Sale Analysis'!$A:$A,'[1]Point of Sale Analysis'!$B:$B,"not found",0)</f>
        <v>not found</v>
      </c>
    </row>
    <row r="262" spans="1:11" x14ac:dyDescent="0.3">
      <c r="A262" s="1" t="s">
        <v>268</v>
      </c>
      <c r="B262" s="1">
        <v>2</v>
      </c>
      <c r="C262" s="1">
        <v>1</v>
      </c>
      <c r="D262" s="1">
        <v>3</v>
      </c>
      <c r="E262" s="1">
        <v>2</v>
      </c>
      <c r="F262" s="1">
        <v>14</v>
      </c>
      <c r="G262" s="1">
        <v>8</v>
      </c>
      <c r="H262" s="1">
        <v>0</v>
      </c>
      <c r="I262" s="1">
        <f t="shared" si="38"/>
        <v>8</v>
      </c>
      <c r="J262" s="1">
        <f>_xlfn.XLOOKUP(A262,'[1]Point of Sale Analysis'!$A:$A,'[1]Point of Sale Analysis'!$B:$B,"not found",0)</f>
        <v>3</v>
      </c>
      <c r="K262" s="1">
        <f t="shared" ref="K262:K267" si="39">ABS(J262-I262)</f>
        <v>5</v>
      </c>
    </row>
    <row r="263" spans="1:11" x14ac:dyDescent="0.3">
      <c r="A263" s="1" t="s">
        <v>269</v>
      </c>
      <c r="B263" s="1">
        <v>4</v>
      </c>
      <c r="C263" s="1">
        <v>2</v>
      </c>
      <c r="D263" s="1">
        <v>3</v>
      </c>
      <c r="E263" s="1">
        <v>1</v>
      </c>
      <c r="F263" s="1">
        <v>8</v>
      </c>
      <c r="G263" s="1">
        <v>5</v>
      </c>
      <c r="H263" s="1">
        <v>0</v>
      </c>
      <c r="I263" s="1">
        <f t="shared" si="38"/>
        <v>5</v>
      </c>
      <c r="J263" s="1">
        <f>_xlfn.XLOOKUP(A263,'[1]Point of Sale Analysis'!$A:$A,'[1]Point of Sale Analysis'!$B:$B,"not found",0)</f>
        <v>1</v>
      </c>
      <c r="K263" s="1">
        <f t="shared" si="39"/>
        <v>4</v>
      </c>
    </row>
    <row r="264" spans="1:11" x14ac:dyDescent="0.3">
      <c r="A264" s="1" t="s">
        <v>270</v>
      </c>
      <c r="B264" s="1">
        <v>2</v>
      </c>
      <c r="C264" s="1"/>
      <c r="D264" s="1"/>
      <c r="E264" s="1"/>
      <c r="F264" s="1">
        <v>0</v>
      </c>
      <c r="G264" s="1">
        <v>0</v>
      </c>
      <c r="H264" s="1">
        <v>2</v>
      </c>
      <c r="I264" s="1">
        <f t="shared" si="38"/>
        <v>2</v>
      </c>
      <c r="J264" s="1">
        <f>_xlfn.XLOOKUP(A264,'[1]Point of Sale Analysis'!$A:$A,'[1]Point of Sale Analysis'!$B:$B,"not found",0)</f>
        <v>1</v>
      </c>
      <c r="K264" s="1">
        <f t="shared" si="39"/>
        <v>1</v>
      </c>
    </row>
    <row r="265" spans="1:11" x14ac:dyDescent="0.3">
      <c r="A265" s="1" t="s">
        <v>271</v>
      </c>
      <c r="B265" s="1">
        <v>6</v>
      </c>
      <c r="C265" s="1">
        <v>12</v>
      </c>
      <c r="D265" s="1">
        <v>7</v>
      </c>
      <c r="E265" s="1">
        <v>8</v>
      </c>
      <c r="F265" s="1">
        <v>36</v>
      </c>
      <c r="G265" s="1">
        <v>5</v>
      </c>
      <c r="H265" s="1">
        <v>2</v>
      </c>
      <c r="I265" s="1">
        <f t="shared" si="38"/>
        <v>7</v>
      </c>
      <c r="J265" s="1">
        <f>_xlfn.XLOOKUP(A265,'[1]Point of Sale Analysis'!$A:$A,'[1]Point of Sale Analysis'!$B:$B,"not found",0)</f>
        <v>5</v>
      </c>
      <c r="K265" s="1">
        <f t="shared" si="39"/>
        <v>2</v>
      </c>
    </row>
    <row r="266" spans="1:11" x14ac:dyDescent="0.3">
      <c r="A266" s="1" t="s">
        <v>272</v>
      </c>
      <c r="B266" s="1">
        <v>12</v>
      </c>
      <c r="C266" s="1">
        <v>9</v>
      </c>
      <c r="D266" s="1">
        <v>13</v>
      </c>
      <c r="E266" s="1">
        <v>7</v>
      </c>
      <c r="F266" s="1">
        <v>21</v>
      </c>
      <c r="G266" s="1">
        <v>11</v>
      </c>
      <c r="H266" s="1">
        <v>0</v>
      </c>
      <c r="I266" s="1">
        <f t="shared" si="38"/>
        <v>11</v>
      </c>
      <c r="J266" s="1">
        <f>_xlfn.XLOOKUP(A266,'[1]Point of Sale Analysis'!$A:$A,'[1]Point of Sale Analysis'!$B:$B,"not found",0)</f>
        <v>5</v>
      </c>
      <c r="K266" s="1">
        <f t="shared" si="39"/>
        <v>6</v>
      </c>
    </row>
    <row r="267" spans="1:11" x14ac:dyDescent="0.3">
      <c r="A267" s="1" t="s">
        <v>273</v>
      </c>
      <c r="B267" s="1">
        <v>5</v>
      </c>
      <c r="C267" s="1">
        <v>5</v>
      </c>
      <c r="D267" s="1">
        <v>7</v>
      </c>
      <c r="E267" s="1">
        <v>7</v>
      </c>
      <c r="F267" s="1">
        <v>9</v>
      </c>
      <c r="G267" s="1">
        <v>7</v>
      </c>
      <c r="H267" s="1">
        <v>0</v>
      </c>
      <c r="I267" s="1">
        <f t="shared" si="38"/>
        <v>7</v>
      </c>
      <c r="J267" s="1">
        <f>_xlfn.XLOOKUP(A267,'[1]Point of Sale Analysis'!$A:$A,'[1]Point of Sale Analysis'!$B:$B,"not found",0)</f>
        <v>1</v>
      </c>
      <c r="K267" s="1">
        <f t="shared" si="39"/>
        <v>6</v>
      </c>
    </row>
    <row r="268" spans="1:11" hidden="1" x14ac:dyDescent="0.3">
      <c r="A268" t="s">
        <v>274</v>
      </c>
      <c r="B268">
        <v>1</v>
      </c>
      <c r="C268">
        <v>1</v>
      </c>
      <c r="F268">
        <v>12</v>
      </c>
      <c r="G268">
        <v>1</v>
      </c>
      <c r="H268">
        <v>0</v>
      </c>
      <c r="I268">
        <f t="shared" si="38"/>
        <v>1</v>
      </c>
      <c r="J268" t="str">
        <f>_xlfn.XLOOKUP(A268,'[1]Point of Sale Analysis'!$A:$A,'[1]Point of Sale Analysis'!$B:$B,"not found",0)</f>
        <v>not found</v>
      </c>
    </row>
    <row r="269" spans="1:11" x14ac:dyDescent="0.3">
      <c r="A269" s="1" t="s">
        <v>275</v>
      </c>
      <c r="B269" s="1">
        <v>9</v>
      </c>
      <c r="C269" s="1">
        <v>11</v>
      </c>
      <c r="D269" s="1">
        <v>8</v>
      </c>
      <c r="E269" s="1">
        <v>3</v>
      </c>
      <c r="F269" s="1">
        <v>0</v>
      </c>
      <c r="G269" s="1">
        <v>5</v>
      </c>
      <c r="H269" s="1">
        <v>3</v>
      </c>
      <c r="I269" s="1">
        <f t="shared" si="38"/>
        <v>8</v>
      </c>
      <c r="J269" s="1">
        <f>_xlfn.XLOOKUP(A269,'[1]Point of Sale Analysis'!$A:$A,'[1]Point of Sale Analysis'!$B:$B,"not found",0)</f>
        <v>2</v>
      </c>
      <c r="K269" s="1">
        <f t="shared" ref="K269:K277" si="40">ABS(J269-I269)</f>
        <v>6</v>
      </c>
    </row>
    <row r="270" spans="1:11" x14ac:dyDescent="0.3">
      <c r="A270" s="1" t="s">
        <v>276</v>
      </c>
      <c r="B270" s="1"/>
      <c r="C270" s="1"/>
      <c r="D270" s="1"/>
      <c r="E270" s="1">
        <v>1</v>
      </c>
      <c r="F270" s="1">
        <v>5</v>
      </c>
      <c r="G270" s="1">
        <v>4</v>
      </c>
      <c r="H270" s="1">
        <v>0</v>
      </c>
      <c r="I270" s="1">
        <f t="shared" si="38"/>
        <v>4</v>
      </c>
      <c r="J270" s="1">
        <f>_xlfn.XLOOKUP(A270,'[1]Point of Sale Analysis'!$A:$A,'[1]Point of Sale Analysis'!$B:$B,"not found",0)</f>
        <v>1</v>
      </c>
      <c r="K270" s="1">
        <f t="shared" si="40"/>
        <v>3</v>
      </c>
    </row>
    <row r="271" spans="1:11" x14ac:dyDescent="0.3">
      <c r="A271" s="1" t="s">
        <v>277</v>
      </c>
      <c r="B271" s="1"/>
      <c r="C271" s="1">
        <v>1</v>
      </c>
      <c r="D271" s="1">
        <v>5</v>
      </c>
      <c r="E271" s="1">
        <v>1</v>
      </c>
      <c r="F271" s="1">
        <v>18</v>
      </c>
      <c r="G271" s="1">
        <v>9</v>
      </c>
      <c r="H271" s="1">
        <v>0</v>
      </c>
      <c r="I271" s="1">
        <f t="shared" si="38"/>
        <v>9</v>
      </c>
      <c r="J271" s="1">
        <f>_xlfn.XLOOKUP(A271,'[1]Point of Sale Analysis'!$A:$A,'[1]Point of Sale Analysis'!$B:$B,"not found",0)</f>
        <v>1</v>
      </c>
      <c r="K271" s="1">
        <f t="shared" si="40"/>
        <v>8</v>
      </c>
    </row>
    <row r="272" spans="1:11" x14ac:dyDescent="0.3">
      <c r="A272" s="1" t="s">
        <v>278</v>
      </c>
      <c r="B272" s="1">
        <v>2</v>
      </c>
      <c r="C272" s="1"/>
      <c r="D272" s="1">
        <v>5</v>
      </c>
      <c r="E272" s="1">
        <v>3</v>
      </c>
      <c r="F272" s="1">
        <v>19</v>
      </c>
      <c r="G272" s="1">
        <v>10</v>
      </c>
      <c r="H272" s="1">
        <v>0</v>
      </c>
      <c r="I272" s="1">
        <f t="shared" si="38"/>
        <v>10</v>
      </c>
      <c r="J272" s="1">
        <f>_xlfn.XLOOKUP(A272,'[1]Point of Sale Analysis'!$A:$A,'[1]Point of Sale Analysis'!$B:$B,"not found",0)</f>
        <v>1</v>
      </c>
      <c r="K272" s="1">
        <f t="shared" si="40"/>
        <v>9</v>
      </c>
    </row>
    <row r="273" spans="1:11" x14ac:dyDescent="0.3">
      <c r="A273" s="1" t="s">
        <v>279</v>
      </c>
      <c r="B273" s="1">
        <v>4</v>
      </c>
      <c r="C273" s="1"/>
      <c r="D273" s="1">
        <v>6</v>
      </c>
      <c r="E273" s="1">
        <v>1</v>
      </c>
      <c r="F273" s="1">
        <v>16</v>
      </c>
      <c r="G273" s="1">
        <v>4</v>
      </c>
      <c r="H273" s="1">
        <v>0</v>
      </c>
      <c r="I273" s="1">
        <f t="shared" si="38"/>
        <v>4</v>
      </c>
      <c r="J273" s="1">
        <f>_xlfn.XLOOKUP(A273,'[1]Point of Sale Analysis'!$A:$A,'[1]Point of Sale Analysis'!$B:$B,"not found",0)</f>
        <v>2</v>
      </c>
      <c r="K273" s="1">
        <f t="shared" si="40"/>
        <v>2</v>
      </c>
    </row>
    <row r="274" spans="1:11" x14ac:dyDescent="0.3">
      <c r="A274" s="1" t="s">
        <v>280</v>
      </c>
      <c r="B274" s="1">
        <v>5</v>
      </c>
      <c r="C274" s="1">
        <v>8</v>
      </c>
      <c r="D274" s="1">
        <v>3</v>
      </c>
      <c r="E274" s="1">
        <v>5</v>
      </c>
      <c r="F274" s="1">
        <v>11</v>
      </c>
      <c r="G274" s="1">
        <v>4</v>
      </c>
      <c r="H274" s="1">
        <v>1</v>
      </c>
      <c r="I274" s="1">
        <f t="shared" si="38"/>
        <v>5</v>
      </c>
      <c r="J274" s="1">
        <f>_xlfn.XLOOKUP(A274,'[1]Point of Sale Analysis'!$A:$A,'[1]Point of Sale Analysis'!$B:$B,"not found",0)</f>
        <v>2</v>
      </c>
      <c r="K274" s="1">
        <f t="shared" si="40"/>
        <v>3</v>
      </c>
    </row>
    <row r="275" spans="1:11" x14ac:dyDescent="0.3">
      <c r="A275" s="1" t="s">
        <v>281</v>
      </c>
      <c r="B275" s="1">
        <v>4</v>
      </c>
      <c r="C275" s="1">
        <v>3</v>
      </c>
      <c r="D275" s="1">
        <v>2</v>
      </c>
      <c r="E275" s="1"/>
      <c r="F275" s="1">
        <v>26</v>
      </c>
      <c r="G275" s="1">
        <v>4</v>
      </c>
      <c r="H275" s="1">
        <v>0</v>
      </c>
      <c r="I275" s="1">
        <f t="shared" si="38"/>
        <v>4</v>
      </c>
      <c r="J275" s="1">
        <f>_xlfn.XLOOKUP(A275,'[1]Point of Sale Analysis'!$A:$A,'[1]Point of Sale Analysis'!$B:$B,"not found",0)</f>
        <v>5</v>
      </c>
      <c r="K275" s="1">
        <f t="shared" si="40"/>
        <v>1</v>
      </c>
    </row>
    <row r="276" spans="1:11" x14ac:dyDescent="0.3">
      <c r="A276" s="1" t="s">
        <v>282</v>
      </c>
      <c r="B276" s="1">
        <v>15</v>
      </c>
      <c r="C276" s="1">
        <v>6</v>
      </c>
      <c r="D276" s="1">
        <v>6</v>
      </c>
      <c r="E276" s="1">
        <v>6</v>
      </c>
      <c r="F276" s="1">
        <v>39</v>
      </c>
      <c r="G276" s="1">
        <v>3</v>
      </c>
      <c r="H276" s="1">
        <v>3</v>
      </c>
      <c r="I276" s="1">
        <f t="shared" si="38"/>
        <v>6</v>
      </c>
      <c r="J276" s="1">
        <f>_xlfn.XLOOKUP(A276,'[1]Point of Sale Analysis'!$A:$A,'[1]Point of Sale Analysis'!$B:$B,"not found",0)</f>
        <v>6</v>
      </c>
      <c r="K276" s="1">
        <f t="shared" si="40"/>
        <v>0</v>
      </c>
    </row>
    <row r="277" spans="1:11" x14ac:dyDescent="0.3">
      <c r="A277" s="1" t="s">
        <v>283</v>
      </c>
      <c r="B277" s="1">
        <v>7</v>
      </c>
      <c r="C277" s="1">
        <v>3</v>
      </c>
      <c r="D277" s="1">
        <v>2</v>
      </c>
      <c r="E277" s="1">
        <v>3</v>
      </c>
      <c r="F277" s="1">
        <v>21</v>
      </c>
      <c r="G277" s="1">
        <v>5</v>
      </c>
      <c r="H277" s="1">
        <v>0</v>
      </c>
      <c r="I277" s="1">
        <f t="shared" si="38"/>
        <v>5</v>
      </c>
      <c r="J277" s="1">
        <f>_xlfn.XLOOKUP(A277,'[1]Point of Sale Analysis'!$A:$A,'[1]Point of Sale Analysis'!$B:$B,"not found",0)</f>
        <v>2</v>
      </c>
      <c r="K277" s="1">
        <f t="shared" si="40"/>
        <v>3</v>
      </c>
    </row>
    <row r="278" spans="1:11" hidden="1" x14ac:dyDescent="0.3">
      <c r="A278" t="s">
        <v>284</v>
      </c>
      <c r="B278">
        <v>1</v>
      </c>
      <c r="C278">
        <v>7</v>
      </c>
      <c r="F278">
        <v>0</v>
      </c>
      <c r="G278">
        <v>0</v>
      </c>
      <c r="H278">
        <v>4</v>
      </c>
      <c r="I278">
        <f t="shared" si="38"/>
        <v>4</v>
      </c>
      <c r="J278" t="str">
        <f>_xlfn.XLOOKUP(A278,'[1]Point of Sale Analysis'!$A:$A,'[1]Point of Sale Analysis'!$B:$B,"not found",0)</f>
        <v>not found</v>
      </c>
    </row>
    <row r="279" spans="1:11" hidden="1" x14ac:dyDescent="0.3">
      <c r="A279" t="s">
        <v>285</v>
      </c>
      <c r="E279">
        <v>1</v>
      </c>
      <c r="F279">
        <v>10</v>
      </c>
      <c r="G279">
        <v>1</v>
      </c>
      <c r="H279">
        <v>0</v>
      </c>
      <c r="I279">
        <f t="shared" si="38"/>
        <v>1</v>
      </c>
      <c r="J279" t="str">
        <f>_xlfn.XLOOKUP(A279,'[1]Point of Sale Analysis'!$A:$A,'[1]Point of Sale Analysis'!$B:$B,"not found",0)</f>
        <v>not found</v>
      </c>
    </row>
    <row r="280" spans="1:11" x14ac:dyDescent="0.3">
      <c r="A280" s="1" t="s">
        <v>286</v>
      </c>
      <c r="B280" s="1">
        <v>10</v>
      </c>
      <c r="C280" s="1">
        <v>11</v>
      </c>
      <c r="D280" s="1">
        <v>10</v>
      </c>
      <c r="E280" s="1">
        <v>9</v>
      </c>
      <c r="F280" s="1">
        <v>23</v>
      </c>
      <c r="G280" s="1">
        <v>5</v>
      </c>
      <c r="H280" s="1">
        <v>5</v>
      </c>
      <c r="I280" s="1">
        <f t="shared" si="38"/>
        <v>10</v>
      </c>
      <c r="J280" s="1">
        <f>_xlfn.XLOOKUP(A280,'[1]Point of Sale Analysis'!$A:$A,'[1]Point of Sale Analysis'!$B:$B,"not found",0)</f>
        <v>6</v>
      </c>
      <c r="K280" s="1">
        <f t="shared" ref="K280:K285" si="41">ABS(J280-I280)</f>
        <v>4</v>
      </c>
    </row>
    <row r="281" spans="1:11" x14ac:dyDescent="0.3">
      <c r="A281" s="1" t="s">
        <v>287</v>
      </c>
      <c r="B281" s="1">
        <v>2</v>
      </c>
      <c r="C281" s="1">
        <v>2</v>
      </c>
      <c r="D281" s="1">
        <v>1</v>
      </c>
      <c r="E281" s="1">
        <v>1</v>
      </c>
      <c r="F281" s="1">
        <v>12</v>
      </c>
      <c r="G281" s="1">
        <v>2</v>
      </c>
      <c r="H281" s="1">
        <v>0</v>
      </c>
      <c r="I281" s="1">
        <f t="shared" si="38"/>
        <v>2</v>
      </c>
      <c r="J281" s="1">
        <f>_xlfn.XLOOKUP(A281,'[1]Point of Sale Analysis'!$A:$A,'[1]Point of Sale Analysis'!$B:$B,"not found",0)</f>
        <v>1</v>
      </c>
      <c r="K281" s="1">
        <f t="shared" si="41"/>
        <v>1</v>
      </c>
    </row>
    <row r="282" spans="1:11" x14ac:dyDescent="0.3">
      <c r="A282" s="1" t="s">
        <v>288</v>
      </c>
      <c r="B282" s="1">
        <v>8</v>
      </c>
      <c r="C282" s="1">
        <v>7</v>
      </c>
      <c r="D282" s="1">
        <v>12</v>
      </c>
      <c r="E282" s="1">
        <v>5</v>
      </c>
      <c r="F282" s="1">
        <v>32</v>
      </c>
      <c r="G282" s="1">
        <v>5</v>
      </c>
      <c r="H282" s="1">
        <v>2</v>
      </c>
      <c r="I282" s="1">
        <f t="shared" si="38"/>
        <v>7</v>
      </c>
      <c r="J282" s="1">
        <f>_xlfn.XLOOKUP(A282,'[1]Point of Sale Analysis'!$A:$A,'[1]Point of Sale Analysis'!$B:$B,"not found",0)</f>
        <v>3</v>
      </c>
      <c r="K282" s="1">
        <f t="shared" si="41"/>
        <v>4</v>
      </c>
    </row>
    <row r="283" spans="1:11" x14ac:dyDescent="0.3">
      <c r="A283" s="1" t="s">
        <v>289</v>
      </c>
      <c r="B283" s="1">
        <v>5</v>
      </c>
      <c r="C283" s="1">
        <v>4</v>
      </c>
      <c r="D283" s="1">
        <v>8</v>
      </c>
      <c r="E283" s="1">
        <v>6</v>
      </c>
      <c r="F283" s="1">
        <v>48</v>
      </c>
      <c r="G283" s="1">
        <v>11</v>
      </c>
      <c r="H283" s="1">
        <v>0</v>
      </c>
      <c r="I283" s="1">
        <f t="shared" si="38"/>
        <v>11</v>
      </c>
      <c r="J283" s="1">
        <f>_xlfn.XLOOKUP(A283,'[1]Point of Sale Analysis'!$A:$A,'[1]Point of Sale Analysis'!$B:$B,"not found",0)</f>
        <v>6</v>
      </c>
      <c r="K283" s="1">
        <f t="shared" si="41"/>
        <v>5</v>
      </c>
    </row>
    <row r="284" spans="1:11" x14ac:dyDescent="0.3">
      <c r="A284" s="1" t="s">
        <v>290</v>
      </c>
      <c r="B284" s="1"/>
      <c r="C284" s="1"/>
      <c r="D284" s="1"/>
      <c r="E284" s="1">
        <v>6</v>
      </c>
      <c r="F284" s="1">
        <v>23</v>
      </c>
      <c r="G284" s="1">
        <v>5</v>
      </c>
      <c r="H284" s="1">
        <v>1</v>
      </c>
      <c r="I284" s="1">
        <f t="shared" si="38"/>
        <v>6</v>
      </c>
      <c r="J284" s="1">
        <f>_xlfn.XLOOKUP(A284,'[1]Point of Sale Analysis'!$A:$A,'[1]Point of Sale Analysis'!$B:$B,"not found",0)</f>
        <v>3</v>
      </c>
      <c r="K284" s="1">
        <f t="shared" si="41"/>
        <v>3</v>
      </c>
    </row>
    <row r="285" spans="1:11" x14ac:dyDescent="0.3">
      <c r="A285" s="1" t="s">
        <v>291</v>
      </c>
      <c r="B285" s="1">
        <v>4</v>
      </c>
      <c r="C285" s="1">
        <v>1</v>
      </c>
      <c r="D285" s="1">
        <v>2</v>
      </c>
      <c r="E285" s="1">
        <v>3</v>
      </c>
      <c r="F285" s="1">
        <v>41</v>
      </c>
      <c r="G285" s="1">
        <v>6</v>
      </c>
      <c r="H285" s="1">
        <v>0</v>
      </c>
      <c r="I285" s="1">
        <f t="shared" si="38"/>
        <v>6</v>
      </c>
      <c r="J285" s="1">
        <f>_xlfn.XLOOKUP(A285,'[1]Point of Sale Analysis'!$A:$A,'[1]Point of Sale Analysis'!$B:$B,"not found",0)</f>
        <v>4</v>
      </c>
      <c r="K285" s="1">
        <f t="shared" si="41"/>
        <v>2</v>
      </c>
    </row>
    <row r="286" spans="1:11" hidden="1" x14ac:dyDescent="0.3">
      <c r="A286" t="s">
        <v>292</v>
      </c>
      <c r="B286">
        <v>6</v>
      </c>
      <c r="D286">
        <v>5</v>
      </c>
      <c r="E286">
        <v>1</v>
      </c>
      <c r="F286">
        <v>24</v>
      </c>
      <c r="G286">
        <v>10</v>
      </c>
      <c r="H286">
        <v>0</v>
      </c>
      <c r="I286">
        <f t="shared" si="38"/>
        <v>10</v>
      </c>
      <c r="J286" t="str">
        <f>_xlfn.XLOOKUP(A286,'[1]Point of Sale Analysis'!$A:$A,'[1]Point of Sale Analysis'!$B:$B,"not found",0)</f>
        <v>not found</v>
      </c>
    </row>
    <row r="287" spans="1:11" x14ac:dyDescent="0.3">
      <c r="A287" s="1" t="s">
        <v>293</v>
      </c>
      <c r="B287" s="1">
        <v>6</v>
      </c>
      <c r="C287" s="1">
        <v>4</v>
      </c>
      <c r="D287" s="1">
        <v>1</v>
      </c>
      <c r="E287" s="1">
        <v>2</v>
      </c>
      <c r="F287" s="1">
        <v>45</v>
      </c>
      <c r="G287" s="1">
        <v>4</v>
      </c>
      <c r="H287" s="1">
        <v>0</v>
      </c>
      <c r="I287" s="1">
        <f t="shared" si="38"/>
        <v>4</v>
      </c>
      <c r="J287" s="1">
        <f>_xlfn.XLOOKUP(A287,'[1]Point of Sale Analysis'!$A:$A,'[1]Point of Sale Analysis'!$B:$B,"not found",0)</f>
        <v>2</v>
      </c>
      <c r="K287" s="1">
        <f>ABS(J287-I287)</f>
        <v>2</v>
      </c>
    </row>
    <row r="288" spans="1:11" hidden="1" x14ac:dyDescent="0.3">
      <c r="A288" t="s">
        <v>294</v>
      </c>
      <c r="E288">
        <v>1</v>
      </c>
      <c r="F288">
        <v>12</v>
      </c>
      <c r="G288">
        <v>1</v>
      </c>
      <c r="H288">
        <v>0</v>
      </c>
      <c r="I288">
        <f t="shared" si="38"/>
        <v>1</v>
      </c>
      <c r="J288" t="str">
        <f>_xlfn.XLOOKUP(A288,'[1]Point of Sale Analysis'!$A:$A,'[1]Point of Sale Analysis'!$B:$B,"not found",0)</f>
        <v>not found</v>
      </c>
    </row>
    <row r="289" spans="1:11" hidden="1" x14ac:dyDescent="0.3">
      <c r="A289" t="s">
        <v>295</v>
      </c>
      <c r="E289">
        <v>1</v>
      </c>
      <c r="F289">
        <v>4</v>
      </c>
      <c r="G289">
        <v>2</v>
      </c>
      <c r="H289">
        <v>0</v>
      </c>
      <c r="I289">
        <f t="shared" si="38"/>
        <v>2</v>
      </c>
      <c r="J289" t="str">
        <f>_xlfn.XLOOKUP(A289,'[1]Point of Sale Analysis'!$A:$A,'[1]Point of Sale Analysis'!$B:$B,"not found",0)</f>
        <v>not found</v>
      </c>
    </row>
    <row r="290" spans="1:11" hidden="1" x14ac:dyDescent="0.3">
      <c r="A290" t="s">
        <v>296</v>
      </c>
      <c r="B290">
        <v>2</v>
      </c>
      <c r="C290">
        <v>1</v>
      </c>
      <c r="E290">
        <v>2</v>
      </c>
      <c r="F290">
        <v>24</v>
      </c>
      <c r="G290">
        <v>4</v>
      </c>
      <c r="H290">
        <v>0</v>
      </c>
      <c r="I290">
        <f t="shared" si="38"/>
        <v>4</v>
      </c>
      <c r="J290" t="str">
        <f>_xlfn.XLOOKUP(A290,'[1]Point of Sale Analysis'!$A:$A,'[1]Point of Sale Analysis'!$B:$B,"not found",0)</f>
        <v>not found</v>
      </c>
    </row>
    <row r="291" spans="1:11" x14ac:dyDescent="0.3">
      <c r="A291" s="1" t="s">
        <v>297</v>
      </c>
      <c r="B291" s="1"/>
      <c r="C291" s="1">
        <v>1</v>
      </c>
      <c r="D291" s="1">
        <v>2</v>
      </c>
      <c r="E291" s="1">
        <v>1</v>
      </c>
      <c r="F291" s="1">
        <v>3</v>
      </c>
      <c r="G291" s="1">
        <v>2</v>
      </c>
      <c r="H291" s="1">
        <v>0</v>
      </c>
      <c r="I291" s="1">
        <f t="shared" si="38"/>
        <v>2</v>
      </c>
      <c r="J291" s="1">
        <f>_xlfn.XLOOKUP(A291,'[1]Point of Sale Analysis'!$A:$A,'[1]Point of Sale Analysis'!$B:$B,"not found",0)</f>
        <v>1</v>
      </c>
      <c r="K291" s="1">
        <f>ABS(J291-I291)</f>
        <v>1</v>
      </c>
    </row>
    <row r="292" spans="1:11" hidden="1" x14ac:dyDescent="0.3">
      <c r="A292" t="s">
        <v>298</v>
      </c>
      <c r="B292">
        <v>1</v>
      </c>
      <c r="C292">
        <v>1</v>
      </c>
      <c r="F292">
        <v>20</v>
      </c>
      <c r="G292">
        <v>1</v>
      </c>
      <c r="H292">
        <v>0</v>
      </c>
      <c r="I292">
        <f t="shared" si="38"/>
        <v>1</v>
      </c>
      <c r="J292" t="str">
        <f>_xlfn.XLOOKUP(A292,'[1]Point of Sale Analysis'!$A:$A,'[1]Point of Sale Analysis'!$B:$B,"not found",0)</f>
        <v>not found</v>
      </c>
    </row>
    <row r="293" spans="1:11" hidden="1" x14ac:dyDescent="0.3">
      <c r="A293" t="s">
        <v>299</v>
      </c>
      <c r="E293">
        <v>1</v>
      </c>
      <c r="F293">
        <v>0</v>
      </c>
      <c r="G293">
        <v>1</v>
      </c>
      <c r="H293">
        <v>0</v>
      </c>
      <c r="I293">
        <f t="shared" si="38"/>
        <v>1</v>
      </c>
      <c r="J293" t="str">
        <f>_xlfn.XLOOKUP(A293,'[1]Point of Sale Analysis'!$A:$A,'[1]Point of Sale Analysis'!$B:$B,"not found",0)</f>
        <v>not found</v>
      </c>
    </row>
    <row r="294" spans="1:11" x14ac:dyDescent="0.3">
      <c r="A294" s="1" t="s">
        <v>300</v>
      </c>
      <c r="B294" s="1"/>
      <c r="C294" s="1"/>
      <c r="D294" s="1"/>
      <c r="E294" s="1">
        <v>4</v>
      </c>
      <c r="F294" s="1">
        <v>17</v>
      </c>
      <c r="G294" s="1">
        <v>2</v>
      </c>
      <c r="H294" s="1">
        <v>2</v>
      </c>
      <c r="I294" s="1">
        <f t="shared" si="38"/>
        <v>4</v>
      </c>
      <c r="J294" s="1">
        <f>_xlfn.XLOOKUP(A294,'[1]Point of Sale Analysis'!$A:$A,'[1]Point of Sale Analysis'!$B:$B,"not found",0)</f>
        <v>4</v>
      </c>
      <c r="K294" s="1">
        <f t="shared" ref="K294:K300" si="42">ABS(J294-I294)</f>
        <v>0</v>
      </c>
    </row>
    <row r="295" spans="1:11" x14ac:dyDescent="0.3">
      <c r="A295" s="1" t="s">
        <v>301</v>
      </c>
      <c r="B295" s="1"/>
      <c r="C295" s="1"/>
      <c r="D295" s="1"/>
      <c r="E295" s="1">
        <v>4</v>
      </c>
      <c r="F295" s="1">
        <v>49</v>
      </c>
      <c r="G295" s="1">
        <v>4</v>
      </c>
      <c r="H295" s="1">
        <v>0</v>
      </c>
      <c r="I295" s="1">
        <f t="shared" si="38"/>
        <v>4</v>
      </c>
      <c r="J295" s="1">
        <f>_xlfn.XLOOKUP(A295,'[1]Point of Sale Analysis'!$A:$A,'[1]Point of Sale Analysis'!$B:$B,"not found",0)</f>
        <v>2</v>
      </c>
      <c r="K295" s="1">
        <f t="shared" si="42"/>
        <v>2</v>
      </c>
    </row>
    <row r="296" spans="1:11" x14ac:dyDescent="0.3">
      <c r="A296" s="1" t="s">
        <v>302</v>
      </c>
      <c r="B296" s="1">
        <v>4</v>
      </c>
      <c r="C296" s="1">
        <v>4</v>
      </c>
      <c r="D296" s="1">
        <v>6</v>
      </c>
      <c r="E296" s="1">
        <v>6</v>
      </c>
      <c r="F296" s="1">
        <v>42</v>
      </c>
      <c r="G296" s="1">
        <v>8</v>
      </c>
      <c r="H296" s="1">
        <v>0</v>
      </c>
      <c r="I296" s="1">
        <f t="shared" si="38"/>
        <v>8</v>
      </c>
      <c r="J296" s="1">
        <f>_xlfn.XLOOKUP(A296,'[1]Point of Sale Analysis'!$A:$A,'[1]Point of Sale Analysis'!$B:$B,"not found",0)</f>
        <v>1</v>
      </c>
      <c r="K296" s="1">
        <f t="shared" si="42"/>
        <v>7</v>
      </c>
    </row>
    <row r="297" spans="1:11" x14ac:dyDescent="0.3">
      <c r="A297" s="1" t="s">
        <v>303</v>
      </c>
      <c r="B297" s="1">
        <v>7</v>
      </c>
      <c r="C297" s="1">
        <v>1</v>
      </c>
      <c r="D297" s="1">
        <v>3</v>
      </c>
      <c r="E297" s="1">
        <v>3</v>
      </c>
      <c r="F297" s="1">
        <v>33</v>
      </c>
      <c r="G297" s="1">
        <v>5</v>
      </c>
      <c r="H297" s="1">
        <v>0</v>
      </c>
      <c r="I297" s="1">
        <f t="shared" si="38"/>
        <v>5</v>
      </c>
      <c r="J297" s="1">
        <f>_xlfn.XLOOKUP(A297,'[1]Point of Sale Analysis'!$A:$A,'[1]Point of Sale Analysis'!$B:$B,"not found",0)</f>
        <v>5</v>
      </c>
      <c r="K297" s="1">
        <f t="shared" si="42"/>
        <v>0</v>
      </c>
    </row>
    <row r="298" spans="1:11" x14ac:dyDescent="0.3">
      <c r="A298" s="1" t="s">
        <v>304</v>
      </c>
      <c r="B298" s="1">
        <v>2</v>
      </c>
      <c r="C298" s="1">
        <v>1</v>
      </c>
      <c r="D298" s="1">
        <v>3</v>
      </c>
      <c r="E298" s="1">
        <v>2</v>
      </c>
      <c r="F298" s="1">
        <v>7</v>
      </c>
      <c r="G298" s="1">
        <v>5</v>
      </c>
      <c r="H298" s="1">
        <v>0</v>
      </c>
      <c r="I298" s="1">
        <f t="shared" si="38"/>
        <v>5</v>
      </c>
      <c r="J298" s="1">
        <f>_xlfn.XLOOKUP(A298,'[1]Point of Sale Analysis'!$A:$A,'[1]Point of Sale Analysis'!$B:$B,"not found",0)</f>
        <v>2</v>
      </c>
      <c r="K298" s="1">
        <f t="shared" si="42"/>
        <v>3</v>
      </c>
    </row>
    <row r="299" spans="1:11" x14ac:dyDescent="0.3">
      <c r="A299" s="1" t="s">
        <v>305</v>
      </c>
      <c r="B299" s="1">
        <v>7</v>
      </c>
      <c r="C299" s="1">
        <v>2</v>
      </c>
      <c r="D299" s="1">
        <v>6</v>
      </c>
      <c r="E299" s="1">
        <v>6</v>
      </c>
      <c r="F299" s="1">
        <v>26</v>
      </c>
      <c r="G299" s="1">
        <v>6</v>
      </c>
      <c r="H299" s="1">
        <v>0</v>
      </c>
      <c r="I299" s="1">
        <f t="shared" si="38"/>
        <v>6</v>
      </c>
      <c r="J299" s="1">
        <f>_xlfn.XLOOKUP(A299,'[1]Point of Sale Analysis'!$A:$A,'[1]Point of Sale Analysis'!$B:$B,"not found",0)</f>
        <v>4</v>
      </c>
      <c r="K299" s="1">
        <f t="shared" si="42"/>
        <v>2</v>
      </c>
    </row>
    <row r="300" spans="1:11" x14ac:dyDescent="0.3">
      <c r="A300" s="1" t="s">
        <v>306</v>
      </c>
      <c r="B300" s="1"/>
      <c r="C300" s="1">
        <v>3</v>
      </c>
      <c r="D300" s="1"/>
      <c r="E300" s="1">
        <v>1</v>
      </c>
      <c r="F300" s="1">
        <v>12</v>
      </c>
      <c r="G300" s="1">
        <v>5</v>
      </c>
      <c r="H300" s="1">
        <v>0</v>
      </c>
      <c r="I300" s="1">
        <f t="shared" si="38"/>
        <v>5</v>
      </c>
      <c r="J300" s="1">
        <f>_xlfn.XLOOKUP(A300,'[1]Point of Sale Analysis'!$A:$A,'[1]Point of Sale Analysis'!$B:$B,"not found",0)</f>
        <v>1</v>
      </c>
      <c r="K300" s="1">
        <f t="shared" si="42"/>
        <v>4</v>
      </c>
    </row>
    <row r="301" spans="1:11" hidden="1" x14ac:dyDescent="0.3">
      <c r="A301" t="s">
        <v>307</v>
      </c>
      <c r="B301">
        <v>1</v>
      </c>
      <c r="C301">
        <v>1</v>
      </c>
      <c r="D301">
        <v>2</v>
      </c>
      <c r="F301">
        <v>15</v>
      </c>
      <c r="G301">
        <v>4</v>
      </c>
      <c r="H301">
        <v>0</v>
      </c>
      <c r="I301">
        <f t="shared" si="38"/>
        <v>4</v>
      </c>
      <c r="J301" t="str">
        <f>_xlfn.XLOOKUP(A301,'[1]Point of Sale Analysis'!$A:$A,'[1]Point of Sale Analysis'!$B:$B,"not found",0)</f>
        <v>not found</v>
      </c>
    </row>
    <row r="302" spans="1:11" x14ac:dyDescent="0.3">
      <c r="A302" s="1" t="s">
        <v>308</v>
      </c>
      <c r="B302" s="1">
        <v>3</v>
      </c>
      <c r="C302" s="1">
        <v>1</v>
      </c>
      <c r="D302" s="1"/>
      <c r="E302" s="1">
        <v>4</v>
      </c>
      <c r="F302" s="1">
        <v>19</v>
      </c>
      <c r="G302" s="1">
        <v>7</v>
      </c>
      <c r="H302" s="1">
        <v>0</v>
      </c>
      <c r="I302" s="1">
        <f t="shared" si="38"/>
        <v>7</v>
      </c>
      <c r="J302" s="1">
        <f>_xlfn.XLOOKUP(A302,'[1]Point of Sale Analysis'!$A:$A,'[1]Point of Sale Analysis'!$B:$B,"not found",0)</f>
        <v>4</v>
      </c>
      <c r="K302" s="1">
        <f t="shared" ref="K302:K307" si="43">ABS(J302-I302)</f>
        <v>3</v>
      </c>
    </row>
    <row r="303" spans="1:11" x14ac:dyDescent="0.3">
      <c r="A303" s="1" t="s">
        <v>309</v>
      </c>
      <c r="B303" s="1">
        <v>6</v>
      </c>
      <c r="C303" s="1">
        <v>2</v>
      </c>
      <c r="D303" s="1">
        <v>9</v>
      </c>
      <c r="E303" s="1">
        <v>3</v>
      </c>
      <c r="F303" s="1">
        <v>43</v>
      </c>
      <c r="G303" s="1">
        <v>-1</v>
      </c>
      <c r="H303" s="1">
        <v>5</v>
      </c>
      <c r="I303" s="1">
        <f t="shared" si="38"/>
        <v>4</v>
      </c>
      <c r="J303" s="1">
        <f>_xlfn.XLOOKUP(A303,'[1]Point of Sale Analysis'!$A:$A,'[1]Point of Sale Analysis'!$B:$B,"not found",0)</f>
        <v>3</v>
      </c>
      <c r="K303" s="1">
        <f t="shared" si="43"/>
        <v>1</v>
      </c>
    </row>
    <row r="304" spans="1:11" x14ac:dyDescent="0.3">
      <c r="A304" s="1" t="s">
        <v>310</v>
      </c>
      <c r="B304" s="1">
        <v>3</v>
      </c>
      <c r="C304" s="1">
        <v>1</v>
      </c>
      <c r="D304" s="1">
        <v>2</v>
      </c>
      <c r="E304" s="1">
        <v>2</v>
      </c>
      <c r="F304" s="1">
        <v>15</v>
      </c>
      <c r="G304" s="1">
        <v>5</v>
      </c>
      <c r="H304" s="1">
        <v>0</v>
      </c>
      <c r="I304" s="1">
        <f t="shared" si="38"/>
        <v>5</v>
      </c>
      <c r="J304" s="1">
        <f>_xlfn.XLOOKUP(A304,'[1]Point of Sale Analysis'!$A:$A,'[1]Point of Sale Analysis'!$B:$B,"not found",0)</f>
        <v>2</v>
      </c>
      <c r="K304" s="1">
        <f t="shared" si="43"/>
        <v>3</v>
      </c>
    </row>
    <row r="305" spans="1:11" x14ac:dyDescent="0.3">
      <c r="A305" s="1" t="s">
        <v>311</v>
      </c>
      <c r="B305" s="1">
        <v>18</v>
      </c>
      <c r="C305" s="1">
        <v>4</v>
      </c>
      <c r="D305" s="1">
        <v>4</v>
      </c>
      <c r="E305" s="1">
        <v>5</v>
      </c>
      <c r="F305" s="1">
        <v>8</v>
      </c>
      <c r="G305" s="1">
        <v>3</v>
      </c>
      <c r="H305" s="1">
        <v>1</v>
      </c>
      <c r="I305" s="1">
        <f t="shared" si="38"/>
        <v>4</v>
      </c>
      <c r="J305" s="1">
        <f>_xlfn.XLOOKUP(A305,'[1]Point of Sale Analysis'!$A:$A,'[1]Point of Sale Analysis'!$B:$B,"not found",0)</f>
        <v>4</v>
      </c>
      <c r="K305" s="1">
        <f t="shared" si="43"/>
        <v>0</v>
      </c>
    </row>
    <row r="306" spans="1:11" x14ac:dyDescent="0.3">
      <c r="A306" s="1" t="s">
        <v>312</v>
      </c>
      <c r="B306" s="1">
        <v>24</v>
      </c>
      <c r="C306" s="1">
        <v>4</v>
      </c>
      <c r="D306" s="1">
        <v>14</v>
      </c>
      <c r="E306" s="1">
        <v>6</v>
      </c>
      <c r="F306" s="1">
        <v>31</v>
      </c>
      <c r="G306" s="1">
        <v>9</v>
      </c>
      <c r="H306" s="1">
        <v>1</v>
      </c>
      <c r="I306" s="1">
        <f t="shared" si="38"/>
        <v>10</v>
      </c>
      <c r="J306" s="1">
        <f>_xlfn.XLOOKUP(A306,'[1]Point of Sale Analysis'!$A:$A,'[1]Point of Sale Analysis'!$B:$B,"not found",0)</f>
        <v>7</v>
      </c>
      <c r="K306" s="1">
        <f t="shared" si="43"/>
        <v>3</v>
      </c>
    </row>
    <row r="307" spans="1:11" x14ac:dyDescent="0.3">
      <c r="A307" s="1" t="s">
        <v>313</v>
      </c>
      <c r="B307" s="1">
        <v>7</v>
      </c>
      <c r="C307" s="1">
        <v>2</v>
      </c>
      <c r="D307" s="1">
        <v>6</v>
      </c>
      <c r="E307" s="1">
        <v>8</v>
      </c>
      <c r="F307" s="1">
        <v>97</v>
      </c>
      <c r="G307" s="1">
        <v>5</v>
      </c>
      <c r="H307" s="1">
        <v>1</v>
      </c>
      <c r="I307" s="1">
        <f t="shared" si="38"/>
        <v>6</v>
      </c>
      <c r="J307" s="1">
        <f>_xlfn.XLOOKUP(A307,'[1]Point of Sale Analysis'!$A:$A,'[1]Point of Sale Analysis'!$B:$B,"not found",0)</f>
        <v>3</v>
      </c>
      <c r="K307" s="1">
        <f t="shared" si="43"/>
        <v>3</v>
      </c>
    </row>
    <row r="308" spans="1:11" hidden="1" x14ac:dyDescent="0.3">
      <c r="A308" t="s">
        <v>314</v>
      </c>
      <c r="B308">
        <v>4</v>
      </c>
      <c r="C308">
        <v>3</v>
      </c>
      <c r="D308">
        <v>1</v>
      </c>
      <c r="E308">
        <v>1</v>
      </c>
      <c r="F308">
        <v>31</v>
      </c>
      <c r="G308">
        <v>3</v>
      </c>
      <c r="H308">
        <v>0</v>
      </c>
      <c r="I308">
        <f t="shared" si="38"/>
        <v>3</v>
      </c>
      <c r="J308" t="str">
        <f>_xlfn.XLOOKUP(A308,'[1]Point of Sale Analysis'!$A:$A,'[1]Point of Sale Analysis'!$B:$B,"not found",0)</f>
        <v>not found</v>
      </c>
    </row>
    <row r="309" spans="1:11" x14ac:dyDescent="0.3">
      <c r="A309" s="1" t="s">
        <v>315</v>
      </c>
      <c r="B309" s="1">
        <v>14</v>
      </c>
      <c r="C309" s="1">
        <v>7</v>
      </c>
      <c r="D309" s="1">
        <v>14</v>
      </c>
      <c r="E309" s="1">
        <v>8</v>
      </c>
      <c r="F309" s="1">
        <v>1</v>
      </c>
      <c r="G309" s="1">
        <v>3</v>
      </c>
      <c r="H309" s="1">
        <v>8</v>
      </c>
      <c r="I309" s="1">
        <f t="shared" si="38"/>
        <v>11</v>
      </c>
      <c r="J309" s="1">
        <f>_xlfn.XLOOKUP(A309,'[1]Point of Sale Analysis'!$A:$A,'[1]Point of Sale Analysis'!$B:$B,"not found",0)</f>
        <v>8</v>
      </c>
      <c r="K309" s="1">
        <f>ABS(J309-I309)</f>
        <v>3</v>
      </c>
    </row>
    <row r="310" spans="1:11" hidden="1" x14ac:dyDescent="0.3">
      <c r="A310" t="s">
        <v>316</v>
      </c>
      <c r="C310">
        <v>2</v>
      </c>
      <c r="D310">
        <v>3</v>
      </c>
      <c r="E310">
        <v>1</v>
      </c>
      <c r="F310">
        <v>0</v>
      </c>
      <c r="G310">
        <v>0</v>
      </c>
      <c r="H310">
        <v>2</v>
      </c>
      <c r="I310">
        <f t="shared" si="38"/>
        <v>2</v>
      </c>
      <c r="J310" t="str">
        <f>_xlfn.XLOOKUP(A310,'[1]Point of Sale Analysis'!$A:$A,'[1]Point of Sale Analysis'!$B:$B,"not found",0)</f>
        <v>not found</v>
      </c>
    </row>
    <row r="311" spans="1:11" hidden="1" x14ac:dyDescent="0.3">
      <c r="A311" t="s">
        <v>317</v>
      </c>
      <c r="E311">
        <v>2</v>
      </c>
      <c r="F311">
        <v>0</v>
      </c>
      <c r="G311">
        <v>4</v>
      </c>
      <c r="H311">
        <v>0</v>
      </c>
      <c r="I311">
        <f t="shared" si="38"/>
        <v>4</v>
      </c>
      <c r="J311" t="str">
        <f>_xlfn.XLOOKUP(A311,'[1]Point of Sale Analysis'!$A:$A,'[1]Point of Sale Analysis'!$B:$B,"not found",0)</f>
        <v>not found</v>
      </c>
    </row>
    <row r="312" spans="1:11" hidden="1" x14ac:dyDescent="0.3">
      <c r="A312" t="s">
        <v>318</v>
      </c>
      <c r="D312">
        <v>1</v>
      </c>
      <c r="E312">
        <v>3</v>
      </c>
      <c r="F312">
        <v>0</v>
      </c>
      <c r="G312">
        <v>2</v>
      </c>
      <c r="H312">
        <v>0</v>
      </c>
      <c r="I312">
        <f t="shared" si="38"/>
        <v>2</v>
      </c>
      <c r="J312" t="str">
        <f>_xlfn.XLOOKUP(A312,'[1]Point of Sale Analysis'!$A:$A,'[1]Point of Sale Analysis'!$B:$B,"not found",0)</f>
        <v>not found</v>
      </c>
    </row>
    <row r="313" spans="1:11" x14ac:dyDescent="0.3">
      <c r="A313" s="1" t="s">
        <v>319</v>
      </c>
      <c r="B313" s="1"/>
      <c r="C313" s="1"/>
      <c r="D313" s="1">
        <v>1</v>
      </c>
      <c r="E313" s="1">
        <v>5</v>
      </c>
      <c r="F313" s="1">
        <v>0</v>
      </c>
      <c r="G313" s="1">
        <v>1</v>
      </c>
      <c r="H313" s="1">
        <v>2</v>
      </c>
      <c r="I313" s="1">
        <f t="shared" si="38"/>
        <v>3</v>
      </c>
      <c r="J313" s="1">
        <f>_xlfn.XLOOKUP(A313,'[1]Point of Sale Analysis'!$A:$A,'[1]Point of Sale Analysis'!$B:$B,"not found",0)</f>
        <v>3</v>
      </c>
      <c r="K313" s="1">
        <f t="shared" ref="K313:K319" si="44">ABS(J313-I313)</f>
        <v>0</v>
      </c>
    </row>
    <row r="314" spans="1:11" x14ac:dyDescent="0.3">
      <c r="A314" s="1" t="s">
        <v>320</v>
      </c>
      <c r="B314" s="1"/>
      <c r="C314" s="1"/>
      <c r="D314" s="1">
        <v>1</v>
      </c>
      <c r="E314" s="1">
        <v>1</v>
      </c>
      <c r="F314" s="1">
        <v>101</v>
      </c>
      <c r="G314" s="1">
        <v>6</v>
      </c>
      <c r="H314" s="1">
        <v>0</v>
      </c>
      <c r="I314" s="1">
        <f t="shared" si="38"/>
        <v>6</v>
      </c>
      <c r="J314" s="1">
        <f>_xlfn.XLOOKUP(A314,'[1]Point of Sale Analysis'!$A:$A,'[1]Point of Sale Analysis'!$B:$B,"not found",0)</f>
        <v>2</v>
      </c>
      <c r="K314" s="1">
        <f t="shared" si="44"/>
        <v>4</v>
      </c>
    </row>
    <row r="315" spans="1:11" x14ac:dyDescent="0.3">
      <c r="A315" s="1" t="s">
        <v>321</v>
      </c>
      <c r="B315" s="1"/>
      <c r="C315" s="1"/>
      <c r="D315" s="1">
        <v>2</v>
      </c>
      <c r="E315" s="1"/>
      <c r="F315" s="1">
        <v>12</v>
      </c>
      <c r="G315" s="1">
        <v>0</v>
      </c>
      <c r="H315" s="1">
        <v>2</v>
      </c>
      <c r="I315" s="1">
        <f t="shared" si="38"/>
        <v>2</v>
      </c>
      <c r="J315" s="1">
        <f>_xlfn.XLOOKUP(A315,'[1]Point of Sale Analysis'!$A:$A,'[1]Point of Sale Analysis'!$B:$B,"not found",0)</f>
        <v>3</v>
      </c>
      <c r="K315" s="1">
        <f t="shared" si="44"/>
        <v>1</v>
      </c>
    </row>
    <row r="316" spans="1:11" x14ac:dyDescent="0.3">
      <c r="A316" s="1" t="s">
        <v>322</v>
      </c>
      <c r="B316" s="1"/>
      <c r="C316" s="1"/>
      <c r="D316" s="1">
        <v>1</v>
      </c>
      <c r="E316" s="1">
        <v>2</v>
      </c>
      <c r="F316" s="1">
        <v>0</v>
      </c>
      <c r="G316" s="1">
        <v>0</v>
      </c>
      <c r="H316" s="1">
        <v>1</v>
      </c>
      <c r="I316" s="1">
        <f t="shared" si="38"/>
        <v>1</v>
      </c>
      <c r="J316" s="1">
        <f>_xlfn.XLOOKUP(A316,'[1]Point of Sale Analysis'!$A:$A,'[1]Point of Sale Analysis'!$B:$B,"not found",0)</f>
        <v>1</v>
      </c>
      <c r="K316" s="1">
        <f t="shared" si="44"/>
        <v>0</v>
      </c>
    </row>
    <row r="317" spans="1:11" x14ac:dyDescent="0.3">
      <c r="A317" s="1" t="s">
        <v>323</v>
      </c>
      <c r="B317" s="1"/>
      <c r="C317" s="1"/>
      <c r="D317" s="1">
        <v>2</v>
      </c>
      <c r="E317" s="1">
        <v>2</v>
      </c>
      <c r="F317" s="1">
        <v>97</v>
      </c>
      <c r="G317" s="1">
        <v>6</v>
      </c>
      <c r="H317" s="1">
        <v>0</v>
      </c>
      <c r="I317" s="1">
        <f t="shared" si="38"/>
        <v>6</v>
      </c>
      <c r="J317" s="1">
        <f>_xlfn.XLOOKUP(A317,'[1]Point of Sale Analysis'!$A:$A,'[1]Point of Sale Analysis'!$B:$B,"not found",0)</f>
        <v>2</v>
      </c>
      <c r="K317" s="1">
        <f t="shared" si="44"/>
        <v>4</v>
      </c>
    </row>
    <row r="318" spans="1:11" x14ac:dyDescent="0.3">
      <c r="A318" s="1" t="s">
        <v>324</v>
      </c>
      <c r="B318" s="1"/>
      <c r="C318" s="1"/>
      <c r="D318" s="1"/>
      <c r="E318" s="1">
        <v>1</v>
      </c>
      <c r="F318" s="1">
        <v>102</v>
      </c>
      <c r="G318" s="1">
        <v>8</v>
      </c>
      <c r="H318" s="1">
        <v>0</v>
      </c>
      <c r="I318" s="1">
        <f t="shared" si="38"/>
        <v>8</v>
      </c>
      <c r="J318" s="1">
        <f>_xlfn.XLOOKUP(A318,'[1]Point of Sale Analysis'!$A:$A,'[1]Point of Sale Analysis'!$B:$B,"not found",0)</f>
        <v>1</v>
      </c>
      <c r="K318" s="1">
        <f t="shared" si="44"/>
        <v>7</v>
      </c>
    </row>
    <row r="319" spans="1:11" x14ac:dyDescent="0.3">
      <c r="A319" s="1" t="s">
        <v>325</v>
      </c>
      <c r="B319" s="1"/>
      <c r="C319" s="1"/>
      <c r="D319" s="1">
        <v>1</v>
      </c>
      <c r="E319" s="1">
        <v>1</v>
      </c>
      <c r="F319" s="1">
        <v>1</v>
      </c>
      <c r="G319" s="1">
        <v>2</v>
      </c>
      <c r="H319" s="1">
        <v>0</v>
      </c>
      <c r="I319" s="1">
        <f t="shared" si="38"/>
        <v>2</v>
      </c>
      <c r="J319" s="1">
        <f>_xlfn.XLOOKUP(A319,'[1]Point of Sale Analysis'!$A:$A,'[1]Point of Sale Analysis'!$B:$B,"not found",0)</f>
        <v>1</v>
      </c>
      <c r="K319" s="1">
        <f t="shared" si="44"/>
        <v>1</v>
      </c>
    </row>
    <row r="320" spans="1:11" hidden="1" x14ac:dyDescent="0.3">
      <c r="A320" t="s">
        <v>326</v>
      </c>
      <c r="E320">
        <v>1</v>
      </c>
      <c r="F320">
        <v>0</v>
      </c>
      <c r="G320">
        <v>5</v>
      </c>
      <c r="H320">
        <v>0</v>
      </c>
      <c r="I320">
        <f t="shared" si="38"/>
        <v>5</v>
      </c>
      <c r="J320" t="str">
        <f>_xlfn.XLOOKUP(A320,'[1]Point of Sale Analysis'!$A:$A,'[1]Point of Sale Analysis'!$B:$B,"not found",0)</f>
        <v>not found</v>
      </c>
    </row>
    <row r="321" spans="1:11" x14ac:dyDescent="0.3">
      <c r="A321" s="1" t="s">
        <v>327</v>
      </c>
      <c r="B321" s="1"/>
      <c r="C321" s="1"/>
      <c r="D321" s="1">
        <v>2</v>
      </c>
      <c r="E321" s="1"/>
      <c r="F321" s="1">
        <v>21</v>
      </c>
      <c r="G321" s="1">
        <v>5</v>
      </c>
      <c r="H321" s="1">
        <v>0</v>
      </c>
      <c r="I321" s="1">
        <f t="shared" si="38"/>
        <v>5</v>
      </c>
      <c r="J321" s="1">
        <f>_xlfn.XLOOKUP(A321,'[1]Point of Sale Analysis'!$A:$A,'[1]Point of Sale Analysis'!$B:$B,"not found",0)</f>
        <v>1</v>
      </c>
      <c r="K321" s="1">
        <f t="shared" ref="K321:K323" si="45">ABS(J321-I321)</f>
        <v>4</v>
      </c>
    </row>
    <row r="322" spans="1:11" x14ac:dyDescent="0.3">
      <c r="A322" s="1" t="s">
        <v>328</v>
      </c>
      <c r="B322" s="1">
        <v>11</v>
      </c>
      <c r="C322" s="1">
        <v>5</v>
      </c>
      <c r="D322" s="1">
        <v>2</v>
      </c>
      <c r="E322" s="1">
        <v>2</v>
      </c>
      <c r="F322" s="1">
        <v>23</v>
      </c>
      <c r="G322" s="1">
        <v>2</v>
      </c>
      <c r="H322" s="1">
        <v>1</v>
      </c>
      <c r="I322" s="1">
        <f t="shared" si="38"/>
        <v>3</v>
      </c>
      <c r="J322" s="1">
        <f>_xlfn.XLOOKUP(A322,'[1]Point of Sale Analysis'!$A:$A,'[1]Point of Sale Analysis'!$B:$B,"not found",0)</f>
        <v>3</v>
      </c>
      <c r="K322" s="1">
        <f t="shared" si="45"/>
        <v>0</v>
      </c>
    </row>
    <row r="323" spans="1:11" x14ac:dyDescent="0.3">
      <c r="A323" s="1" t="s">
        <v>329</v>
      </c>
      <c r="B323" s="1">
        <v>7</v>
      </c>
      <c r="C323" s="1">
        <v>4</v>
      </c>
      <c r="D323" s="1">
        <v>9</v>
      </c>
      <c r="E323" s="1">
        <v>2</v>
      </c>
      <c r="F323" s="1">
        <v>44</v>
      </c>
      <c r="G323" s="1">
        <v>5</v>
      </c>
      <c r="H323" s="1">
        <v>0</v>
      </c>
      <c r="I323" s="1">
        <f t="shared" ref="I323:I386" si="46">G323+H323</f>
        <v>5</v>
      </c>
      <c r="J323" s="1">
        <f>_xlfn.XLOOKUP(A323,'[1]Point of Sale Analysis'!$A:$A,'[1]Point of Sale Analysis'!$B:$B,"not found",0)</f>
        <v>1</v>
      </c>
      <c r="K323" s="1">
        <f t="shared" si="45"/>
        <v>4</v>
      </c>
    </row>
    <row r="324" spans="1:11" hidden="1" x14ac:dyDescent="0.3">
      <c r="A324" t="s">
        <v>330</v>
      </c>
      <c r="D324">
        <v>1</v>
      </c>
      <c r="E324">
        <v>1</v>
      </c>
      <c r="F324">
        <v>9</v>
      </c>
      <c r="G324">
        <v>3</v>
      </c>
      <c r="H324">
        <v>0</v>
      </c>
      <c r="I324">
        <f t="shared" si="46"/>
        <v>3</v>
      </c>
      <c r="J324" t="str">
        <f>_xlfn.XLOOKUP(A324,'[1]Point of Sale Analysis'!$A:$A,'[1]Point of Sale Analysis'!$B:$B,"not found",0)</f>
        <v>not found</v>
      </c>
    </row>
    <row r="325" spans="1:11" x14ac:dyDescent="0.3">
      <c r="A325" s="1" t="s">
        <v>331</v>
      </c>
      <c r="B325" s="1"/>
      <c r="C325" s="1">
        <v>1</v>
      </c>
      <c r="D325" s="1">
        <v>3</v>
      </c>
      <c r="E325" s="1">
        <v>2</v>
      </c>
      <c r="F325" s="1">
        <v>10</v>
      </c>
      <c r="G325" s="1">
        <v>3</v>
      </c>
      <c r="H325" s="1">
        <v>0</v>
      </c>
      <c r="I325" s="1">
        <f t="shared" si="46"/>
        <v>3</v>
      </c>
      <c r="J325" s="1">
        <f>_xlfn.XLOOKUP(A325,'[1]Point of Sale Analysis'!$A:$A,'[1]Point of Sale Analysis'!$B:$B,"not found",0)</f>
        <v>1</v>
      </c>
      <c r="K325" s="1">
        <f t="shared" ref="K325:K328" si="47">ABS(J325-I325)</f>
        <v>2</v>
      </c>
    </row>
    <row r="326" spans="1:11" x14ac:dyDescent="0.3">
      <c r="A326" s="1" t="s">
        <v>332</v>
      </c>
      <c r="B326" s="1"/>
      <c r="C326" s="1"/>
      <c r="D326" s="1"/>
      <c r="E326" s="1">
        <v>3</v>
      </c>
      <c r="F326" s="1">
        <v>3</v>
      </c>
      <c r="G326" s="1">
        <v>2</v>
      </c>
      <c r="H326" s="1">
        <v>1</v>
      </c>
      <c r="I326" s="1">
        <f t="shared" si="46"/>
        <v>3</v>
      </c>
      <c r="J326" s="1">
        <f>_xlfn.XLOOKUP(A326,'[1]Point of Sale Analysis'!$A:$A,'[1]Point of Sale Analysis'!$B:$B,"not found",0)</f>
        <v>1</v>
      </c>
      <c r="K326" s="1">
        <f t="shared" si="47"/>
        <v>2</v>
      </c>
    </row>
    <row r="327" spans="1:11" x14ac:dyDescent="0.3">
      <c r="A327" s="1" t="s">
        <v>333</v>
      </c>
      <c r="B327" s="1">
        <v>2</v>
      </c>
      <c r="C327" s="1"/>
      <c r="D327" s="1">
        <v>2</v>
      </c>
      <c r="E327" s="1">
        <v>2</v>
      </c>
      <c r="F327" s="1">
        <v>11</v>
      </c>
      <c r="G327" s="1">
        <v>3</v>
      </c>
      <c r="H327" s="1">
        <v>0</v>
      </c>
      <c r="I327" s="1">
        <f t="shared" si="46"/>
        <v>3</v>
      </c>
      <c r="J327" s="1">
        <f>_xlfn.XLOOKUP(A327,'[1]Point of Sale Analysis'!$A:$A,'[1]Point of Sale Analysis'!$B:$B,"not found",0)</f>
        <v>2</v>
      </c>
      <c r="K327" s="1">
        <f t="shared" si="47"/>
        <v>1</v>
      </c>
    </row>
    <row r="328" spans="1:11" x14ac:dyDescent="0.3">
      <c r="A328" s="1" t="s">
        <v>334</v>
      </c>
      <c r="B328" s="1"/>
      <c r="C328" s="1"/>
      <c r="D328" s="1"/>
      <c r="E328" s="1">
        <v>3</v>
      </c>
      <c r="F328" s="1">
        <v>9</v>
      </c>
      <c r="G328" s="1">
        <v>5</v>
      </c>
      <c r="H328" s="1">
        <v>0</v>
      </c>
      <c r="I328" s="1">
        <f t="shared" si="46"/>
        <v>5</v>
      </c>
      <c r="J328" s="1">
        <f>_xlfn.XLOOKUP(A328,'[1]Point of Sale Analysis'!$A:$A,'[1]Point of Sale Analysis'!$B:$B,"not found",0)</f>
        <v>1</v>
      </c>
      <c r="K328" s="1">
        <f t="shared" si="47"/>
        <v>4</v>
      </c>
    </row>
    <row r="329" spans="1:11" hidden="1" x14ac:dyDescent="0.3">
      <c r="A329" t="s">
        <v>335</v>
      </c>
      <c r="B329">
        <v>2</v>
      </c>
      <c r="C329">
        <v>3</v>
      </c>
      <c r="E329">
        <v>1</v>
      </c>
      <c r="F329">
        <v>19</v>
      </c>
      <c r="G329">
        <v>4</v>
      </c>
      <c r="H329">
        <v>0</v>
      </c>
      <c r="I329">
        <f t="shared" si="46"/>
        <v>4</v>
      </c>
      <c r="J329" t="str">
        <f>_xlfn.XLOOKUP(A329,'[1]Point of Sale Analysis'!$A:$A,'[1]Point of Sale Analysis'!$B:$B,"not found",0)</f>
        <v>not found</v>
      </c>
    </row>
    <row r="330" spans="1:11" hidden="1" x14ac:dyDescent="0.3">
      <c r="A330" t="s">
        <v>336</v>
      </c>
      <c r="B330">
        <v>1</v>
      </c>
      <c r="C330">
        <v>1</v>
      </c>
      <c r="D330">
        <v>3</v>
      </c>
      <c r="F330">
        <v>0</v>
      </c>
      <c r="G330">
        <v>0</v>
      </c>
      <c r="H330">
        <v>1</v>
      </c>
      <c r="I330">
        <f t="shared" si="46"/>
        <v>1</v>
      </c>
      <c r="J330" t="str">
        <f>_xlfn.XLOOKUP(A330,'[1]Point of Sale Analysis'!$A:$A,'[1]Point of Sale Analysis'!$B:$B,"not found",0)</f>
        <v>not found</v>
      </c>
    </row>
    <row r="331" spans="1:11" hidden="1" x14ac:dyDescent="0.3">
      <c r="A331" t="s">
        <v>337</v>
      </c>
      <c r="E331">
        <v>1</v>
      </c>
      <c r="F331">
        <v>18</v>
      </c>
      <c r="G331">
        <v>3</v>
      </c>
      <c r="H331">
        <v>0</v>
      </c>
      <c r="I331">
        <f t="shared" si="46"/>
        <v>3</v>
      </c>
      <c r="J331" t="str">
        <f>_xlfn.XLOOKUP(A331,'[1]Point of Sale Analysis'!$A:$A,'[1]Point of Sale Analysis'!$B:$B,"not found",0)</f>
        <v>not found</v>
      </c>
    </row>
    <row r="332" spans="1:11" x14ac:dyDescent="0.3">
      <c r="A332" s="1" t="s">
        <v>338</v>
      </c>
      <c r="B332" s="1">
        <v>5</v>
      </c>
      <c r="C332" s="1">
        <v>14</v>
      </c>
      <c r="D332" s="1">
        <v>13</v>
      </c>
      <c r="E332" s="1">
        <v>13</v>
      </c>
      <c r="F332" s="1">
        <v>21</v>
      </c>
      <c r="G332" s="1">
        <v>5</v>
      </c>
      <c r="H332" s="1">
        <v>8</v>
      </c>
      <c r="I332" s="1">
        <f t="shared" si="46"/>
        <v>13</v>
      </c>
      <c r="J332" s="1">
        <f>_xlfn.XLOOKUP(A332,'[1]Point of Sale Analysis'!$A:$A,'[1]Point of Sale Analysis'!$B:$B,"not found",0)</f>
        <v>1</v>
      </c>
      <c r="K332" s="1">
        <f t="shared" ref="K332:K333" si="48">ABS(J332-I332)</f>
        <v>12</v>
      </c>
    </row>
    <row r="333" spans="1:11" x14ac:dyDescent="0.3">
      <c r="A333" s="1" t="s">
        <v>339</v>
      </c>
      <c r="B333" s="1">
        <v>1</v>
      </c>
      <c r="C333" s="1">
        <v>5</v>
      </c>
      <c r="D333" s="1">
        <v>5</v>
      </c>
      <c r="E333" s="1"/>
      <c r="F333" s="1">
        <v>32</v>
      </c>
      <c r="G333" s="1">
        <v>7</v>
      </c>
      <c r="H333" s="1">
        <v>0</v>
      </c>
      <c r="I333" s="1">
        <f t="shared" si="46"/>
        <v>7</v>
      </c>
      <c r="J333" s="1">
        <f>_xlfn.XLOOKUP(A333,'[1]Point of Sale Analysis'!$A:$A,'[1]Point of Sale Analysis'!$B:$B,"not found",0)</f>
        <v>2</v>
      </c>
      <c r="K333" s="1">
        <f t="shared" si="48"/>
        <v>5</v>
      </c>
    </row>
    <row r="334" spans="1:11" hidden="1" x14ac:dyDescent="0.3">
      <c r="A334" t="s">
        <v>340</v>
      </c>
      <c r="B334">
        <v>2</v>
      </c>
      <c r="F334">
        <v>1</v>
      </c>
      <c r="G334">
        <v>2</v>
      </c>
      <c r="H334">
        <v>0</v>
      </c>
      <c r="I334">
        <f t="shared" si="46"/>
        <v>2</v>
      </c>
      <c r="J334" t="str">
        <f>_xlfn.XLOOKUP(A334,'[1]Point of Sale Analysis'!$A:$A,'[1]Point of Sale Analysis'!$B:$B,"not found",0)</f>
        <v>not found</v>
      </c>
    </row>
    <row r="335" spans="1:11" x14ac:dyDescent="0.3">
      <c r="A335" s="1" t="s">
        <v>341</v>
      </c>
      <c r="B335" s="1">
        <v>2</v>
      </c>
      <c r="C335" s="1">
        <v>2</v>
      </c>
      <c r="D335" s="1">
        <v>3</v>
      </c>
      <c r="E335" s="1"/>
      <c r="F335" s="1">
        <v>0</v>
      </c>
      <c r="G335" s="1">
        <v>2</v>
      </c>
      <c r="H335" s="1">
        <v>0</v>
      </c>
      <c r="I335" s="1">
        <f t="shared" si="46"/>
        <v>2</v>
      </c>
      <c r="J335" s="1">
        <f>_xlfn.XLOOKUP(A335,'[1]Point of Sale Analysis'!$A:$A,'[1]Point of Sale Analysis'!$B:$B,"not found",0)</f>
        <v>1</v>
      </c>
      <c r="K335" s="1">
        <f>ABS(J335-I335)</f>
        <v>1</v>
      </c>
    </row>
    <row r="336" spans="1:11" hidden="1" x14ac:dyDescent="0.3">
      <c r="A336" t="s">
        <v>342</v>
      </c>
      <c r="C336">
        <v>3</v>
      </c>
      <c r="D336">
        <v>1</v>
      </c>
      <c r="E336">
        <v>1</v>
      </c>
      <c r="F336">
        <v>2</v>
      </c>
      <c r="G336">
        <v>2</v>
      </c>
      <c r="H336">
        <v>0</v>
      </c>
      <c r="I336">
        <f t="shared" si="46"/>
        <v>2</v>
      </c>
      <c r="J336" t="str">
        <f>_xlfn.XLOOKUP(A336,'[1]Point of Sale Analysis'!$A:$A,'[1]Point of Sale Analysis'!$B:$B,"not found",0)</f>
        <v>not found</v>
      </c>
    </row>
    <row r="337" spans="1:11" hidden="1" x14ac:dyDescent="0.3">
      <c r="A337" t="s">
        <v>343</v>
      </c>
      <c r="B337">
        <v>2</v>
      </c>
      <c r="F337">
        <v>0</v>
      </c>
      <c r="G337">
        <v>1</v>
      </c>
      <c r="H337">
        <v>1</v>
      </c>
      <c r="I337">
        <f t="shared" si="46"/>
        <v>2</v>
      </c>
      <c r="J337" t="str">
        <f>_xlfn.XLOOKUP(A337,'[1]Point of Sale Analysis'!$A:$A,'[1]Point of Sale Analysis'!$B:$B,"not found",0)</f>
        <v>not found</v>
      </c>
    </row>
    <row r="338" spans="1:11" x14ac:dyDescent="0.3">
      <c r="A338" s="1" t="s">
        <v>344</v>
      </c>
      <c r="B338" s="1"/>
      <c r="C338" s="1"/>
      <c r="D338" s="1"/>
      <c r="E338" s="1">
        <v>1</v>
      </c>
      <c r="F338" s="1">
        <v>0</v>
      </c>
      <c r="G338" s="1">
        <v>1</v>
      </c>
      <c r="H338" s="1">
        <v>0</v>
      </c>
      <c r="I338" s="1">
        <f t="shared" si="46"/>
        <v>1</v>
      </c>
      <c r="J338" s="1">
        <f>_xlfn.XLOOKUP(A338,'[1]Point of Sale Analysis'!$A:$A,'[1]Point of Sale Analysis'!$B:$B,"not found",0)</f>
        <v>2</v>
      </c>
      <c r="K338" s="1">
        <f t="shared" ref="K338:K339" si="49">ABS(J338-I338)</f>
        <v>1</v>
      </c>
    </row>
    <row r="339" spans="1:11" x14ac:dyDescent="0.3">
      <c r="A339" s="1" t="s">
        <v>345</v>
      </c>
      <c r="B339" s="1">
        <v>1</v>
      </c>
      <c r="C339" s="1">
        <v>1</v>
      </c>
      <c r="D339" s="1"/>
      <c r="E339" s="1"/>
      <c r="F339" s="1">
        <v>3</v>
      </c>
      <c r="G339" s="1">
        <v>1</v>
      </c>
      <c r="H339" s="1">
        <v>0</v>
      </c>
      <c r="I339" s="1">
        <f t="shared" si="46"/>
        <v>1</v>
      </c>
      <c r="J339" s="1">
        <f>_xlfn.XLOOKUP(A339,'[1]Point of Sale Analysis'!$A:$A,'[1]Point of Sale Analysis'!$B:$B,"not found",0)</f>
        <v>1</v>
      </c>
      <c r="K339" s="1">
        <f t="shared" si="49"/>
        <v>0</v>
      </c>
    </row>
    <row r="340" spans="1:11" hidden="1" x14ac:dyDescent="0.3">
      <c r="A340" t="s">
        <v>346</v>
      </c>
      <c r="B340">
        <v>2</v>
      </c>
      <c r="F340">
        <v>0</v>
      </c>
      <c r="G340">
        <v>0</v>
      </c>
      <c r="H340">
        <v>2</v>
      </c>
      <c r="I340">
        <f t="shared" si="46"/>
        <v>2</v>
      </c>
      <c r="J340" t="str">
        <f>_xlfn.XLOOKUP(A340,'[1]Point of Sale Analysis'!$A:$A,'[1]Point of Sale Analysis'!$B:$B,"not found",0)</f>
        <v>not found</v>
      </c>
    </row>
    <row r="341" spans="1:11" hidden="1" x14ac:dyDescent="0.3">
      <c r="A341" t="s">
        <v>347</v>
      </c>
      <c r="B341">
        <v>1</v>
      </c>
      <c r="C341">
        <v>2</v>
      </c>
      <c r="F341">
        <v>0</v>
      </c>
      <c r="G341">
        <v>1</v>
      </c>
      <c r="H341">
        <v>0</v>
      </c>
      <c r="I341">
        <f t="shared" si="46"/>
        <v>1</v>
      </c>
      <c r="J341" t="str">
        <f>_xlfn.XLOOKUP(A341,'[1]Point of Sale Analysis'!$A:$A,'[1]Point of Sale Analysis'!$B:$B,"not found",0)</f>
        <v>not found</v>
      </c>
    </row>
    <row r="342" spans="1:11" hidden="1" x14ac:dyDescent="0.3">
      <c r="A342" t="s">
        <v>348</v>
      </c>
      <c r="B342">
        <v>2</v>
      </c>
      <c r="F342">
        <v>0</v>
      </c>
      <c r="G342">
        <v>0</v>
      </c>
      <c r="H342">
        <v>2</v>
      </c>
      <c r="I342">
        <f t="shared" si="46"/>
        <v>2</v>
      </c>
      <c r="J342" t="str">
        <f>_xlfn.XLOOKUP(A342,'[1]Point of Sale Analysis'!$A:$A,'[1]Point of Sale Analysis'!$B:$B,"not found",0)</f>
        <v>not found</v>
      </c>
    </row>
    <row r="343" spans="1:11" x14ac:dyDescent="0.3">
      <c r="A343" s="1" t="s">
        <v>349</v>
      </c>
      <c r="B343" s="1">
        <v>1</v>
      </c>
      <c r="C343" s="1">
        <v>1</v>
      </c>
      <c r="D343" s="1">
        <v>1</v>
      </c>
      <c r="E343" s="1"/>
      <c r="F343" s="1">
        <v>16</v>
      </c>
      <c r="G343" s="1">
        <v>6</v>
      </c>
      <c r="H343" s="1">
        <v>0</v>
      </c>
      <c r="I343" s="1">
        <f t="shared" si="46"/>
        <v>6</v>
      </c>
      <c r="J343" s="1">
        <f>_xlfn.XLOOKUP(A343,'[1]Point of Sale Analysis'!$A:$A,'[1]Point of Sale Analysis'!$B:$B,"not found",0)</f>
        <v>1</v>
      </c>
      <c r="K343" s="1">
        <f>ABS(J343-I343)</f>
        <v>5</v>
      </c>
    </row>
    <row r="344" spans="1:11" hidden="1" x14ac:dyDescent="0.3">
      <c r="A344" t="s">
        <v>350</v>
      </c>
      <c r="B344">
        <v>2</v>
      </c>
      <c r="C344">
        <v>4</v>
      </c>
      <c r="D344">
        <v>2</v>
      </c>
      <c r="E344">
        <v>1</v>
      </c>
      <c r="F344">
        <v>18</v>
      </c>
      <c r="G344">
        <v>2</v>
      </c>
      <c r="H344">
        <v>0</v>
      </c>
      <c r="I344">
        <f t="shared" si="46"/>
        <v>2</v>
      </c>
      <c r="J344" t="str">
        <f>_xlfn.XLOOKUP(A344,'[1]Point of Sale Analysis'!$A:$A,'[1]Point of Sale Analysis'!$B:$B,"not found",0)</f>
        <v>not found</v>
      </c>
    </row>
    <row r="345" spans="1:11" hidden="1" x14ac:dyDescent="0.3">
      <c r="A345" t="s">
        <v>351</v>
      </c>
      <c r="B345">
        <v>11</v>
      </c>
      <c r="D345">
        <v>1</v>
      </c>
      <c r="E345">
        <v>7</v>
      </c>
      <c r="F345">
        <v>0</v>
      </c>
      <c r="G345">
        <v>0</v>
      </c>
      <c r="H345">
        <v>7</v>
      </c>
      <c r="I345">
        <f t="shared" si="46"/>
        <v>7</v>
      </c>
      <c r="J345" t="str">
        <f>_xlfn.XLOOKUP(A345,'[1]Point of Sale Analysis'!$A:$A,'[1]Point of Sale Analysis'!$B:$B,"not found",0)</f>
        <v>not found</v>
      </c>
    </row>
    <row r="346" spans="1:11" x14ac:dyDescent="0.3">
      <c r="A346" s="1" t="s">
        <v>352</v>
      </c>
      <c r="B346" s="1"/>
      <c r="C346" s="1"/>
      <c r="D346" s="1">
        <v>10</v>
      </c>
      <c r="E346" s="1">
        <v>3</v>
      </c>
      <c r="F346" s="1">
        <v>7</v>
      </c>
      <c r="G346" s="1">
        <v>3</v>
      </c>
      <c r="H346" s="1">
        <v>3</v>
      </c>
      <c r="I346" s="1">
        <f t="shared" si="46"/>
        <v>6</v>
      </c>
      <c r="J346" s="1">
        <f>_xlfn.XLOOKUP(A346,'[1]Point of Sale Analysis'!$A:$A,'[1]Point of Sale Analysis'!$B:$B,"not found",0)</f>
        <v>3</v>
      </c>
      <c r="K346" s="1">
        <f t="shared" ref="K346:K348" si="50">ABS(J346-I346)</f>
        <v>3</v>
      </c>
    </row>
    <row r="347" spans="1:11" x14ac:dyDescent="0.3">
      <c r="A347" s="1" t="s">
        <v>353</v>
      </c>
      <c r="B347" s="1"/>
      <c r="C347" s="1">
        <v>2</v>
      </c>
      <c r="D347" s="1">
        <v>5</v>
      </c>
      <c r="E347" s="1">
        <v>3</v>
      </c>
      <c r="F347" s="1">
        <v>0</v>
      </c>
      <c r="G347" s="1">
        <v>0</v>
      </c>
      <c r="H347" s="1">
        <v>3</v>
      </c>
      <c r="I347" s="1">
        <f t="shared" si="46"/>
        <v>3</v>
      </c>
      <c r="J347" s="1">
        <f>_xlfn.XLOOKUP(A347,'[1]Point of Sale Analysis'!$A:$A,'[1]Point of Sale Analysis'!$B:$B,"not found",0)</f>
        <v>5</v>
      </c>
      <c r="K347" s="1">
        <f t="shared" si="50"/>
        <v>2</v>
      </c>
    </row>
    <row r="348" spans="1:11" x14ac:dyDescent="0.3">
      <c r="A348" s="1" t="s">
        <v>354</v>
      </c>
      <c r="B348" s="1"/>
      <c r="C348" s="1"/>
      <c r="D348" s="1"/>
      <c r="E348" s="1">
        <v>2</v>
      </c>
      <c r="F348" s="1">
        <v>5</v>
      </c>
      <c r="G348" s="1">
        <v>4</v>
      </c>
      <c r="H348" s="1">
        <v>0</v>
      </c>
      <c r="I348" s="1">
        <f t="shared" si="46"/>
        <v>4</v>
      </c>
      <c r="J348" s="1">
        <f>_xlfn.XLOOKUP(A348,'[1]Point of Sale Analysis'!$A:$A,'[1]Point of Sale Analysis'!$B:$B,"not found",0)</f>
        <v>4</v>
      </c>
      <c r="K348" s="1">
        <f t="shared" si="50"/>
        <v>0</v>
      </c>
    </row>
    <row r="349" spans="1:11" hidden="1" x14ac:dyDescent="0.3">
      <c r="A349" t="s">
        <v>355</v>
      </c>
      <c r="B349">
        <v>2</v>
      </c>
      <c r="C349">
        <v>2</v>
      </c>
      <c r="D349">
        <v>3</v>
      </c>
      <c r="E349">
        <v>1</v>
      </c>
      <c r="F349">
        <v>0</v>
      </c>
      <c r="G349">
        <v>5</v>
      </c>
      <c r="H349">
        <v>0</v>
      </c>
      <c r="I349">
        <f t="shared" si="46"/>
        <v>5</v>
      </c>
      <c r="J349" t="str">
        <f>_xlfn.XLOOKUP(A349,'[1]Point of Sale Analysis'!$A:$A,'[1]Point of Sale Analysis'!$B:$B,"not found",0)</f>
        <v>not found</v>
      </c>
    </row>
    <row r="350" spans="1:11" x14ac:dyDescent="0.3">
      <c r="A350" s="1" t="s">
        <v>356</v>
      </c>
      <c r="B350" s="1">
        <v>2</v>
      </c>
      <c r="C350" s="1"/>
      <c r="D350" s="1">
        <v>1</v>
      </c>
      <c r="E350" s="1">
        <v>1</v>
      </c>
      <c r="F350" s="1">
        <v>13</v>
      </c>
      <c r="G350" s="1">
        <v>7</v>
      </c>
      <c r="H350" s="1">
        <v>0</v>
      </c>
      <c r="I350" s="1">
        <f t="shared" si="46"/>
        <v>7</v>
      </c>
      <c r="J350" s="1">
        <f>_xlfn.XLOOKUP(A350,'[1]Point of Sale Analysis'!$A:$A,'[1]Point of Sale Analysis'!$B:$B,"not found",0)</f>
        <v>1</v>
      </c>
      <c r="K350" s="1">
        <f t="shared" ref="K350:K352" si="51">ABS(J350-I350)</f>
        <v>6</v>
      </c>
    </row>
    <row r="351" spans="1:11" x14ac:dyDescent="0.3">
      <c r="A351" s="1" t="s">
        <v>357</v>
      </c>
      <c r="B351" s="1">
        <v>5</v>
      </c>
      <c r="C351" s="1">
        <v>1</v>
      </c>
      <c r="D351" s="1">
        <v>6</v>
      </c>
      <c r="E351" s="1">
        <v>2</v>
      </c>
      <c r="F351" s="1">
        <v>27</v>
      </c>
      <c r="G351" s="1">
        <v>5</v>
      </c>
      <c r="H351" s="1">
        <v>0</v>
      </c>
      <c r="I351" s="1">
        <f t="shared" si="46"/>
        <v>5</v>
      </c>
      <c r="J351" s="1">
        <f>_xlfn.XLOOKUP(A351,'[1]Point of Sale Analysis'!$A:$A,'[1]Point of Sale Analysis'!$B:$B,"not found",0)</f>
        <v>2</v>
      </c>
      <c r="K351" s="1">
        <f t="shared" si="51"/>
        <v>3</v>
      </c>
    </row>
    <row r="352" spans="1:11" x14ac:dyDescent="0.3">
      <c r="A352" s="1" t="s">
        <v>358</v>
      </c>
      <c r="B352" s="1"/>
      <c r="C352" s="1"/>
      <c r="D352" s="1"/>
      <c r="E352" s="1">
        <v>1</v>
      </c>
      <c r="F352" s="1">
        <v>19</v>
      </c>
      <c r="G352" s="1">
        <v>2</v>
      </c>
      <c r="H352" s="1">
        <v>0</v>
      </c>
      <c r="I352" s="1">
        <f t="shared" si="46"/>
        <v>2</v>
      </c>
      <c r="J352" s="1">
        <f>_xlfn.XLOOKUP(A352,'[1]Point of Sale Analysis'!$A:$A,'[1]Point of Sale Analysis'!$B:$B,"not found",0)</f>
        <v>1</v>
      </c>
      <c r="K352" s="1">
        <f t="shared" si="51"/>
        <v>1</v>
      </c>
    </row>
    <row r="353" spans="1:11" hidden="1" x14ac:dyDescent="0.3">
      <c r="A353" t="s">
        <v>359</v>
      </c>
      <c r="B353">
        <v>14</v>
      </c>
      <c r="C353">
        <v>17</v>
      </c>
      <c r="D353">
        <v>16</v>
      </c>
      <c r="E353">
        <v>10</v>
      </c>
      <c r="F353">
        <v>32</v>
      </c>
      <c r="G353">
        <v>10</v>
      </c>
      <c r="H353">
        <v>5</v>
      </c>
      <c r="I353">
        <f t="shared" si="46"/>
        <v>15</v>
      </c>
      <c r="J353" t="str">
        <f>_xlfn.XLOOKUP(A353,'[1]Point of Sale Analysis'!$A:$A,'[1]Point of Sale Analysis'!$B:$B,"not found",0)</f>
        <v>not found</v>
      </c>
    </row>
    <row r="354" spans="1:11" hidden="1" x14ac:dyDescent="0.3">
      <c r="A354" t="s">
        <v>360</v>
      </c>
      <c r="B354">
        <v>1</v>
      </c>
      <c r="D354">
        <v>2</v>
      </c>
      <c r="E354">
        <v>1</v>
      </c>
      <c r="F354">
        <v>26</v>
      </c>
      <c r="G354">
        <v>2</v>
      </c>
      <c r="H354">
        <v>0</v>
      </c>
      <c r="I354">
        <f t="shared" si="46"/>
        <v>2</v>
      </c>
      <c r="J354" t="str">
        <f>_xlfn.XLOOKUP(A354,'[1]Point of Sale Analysis'!$A:$A,'[1]Point of Sale Analysis'!$B:$B,"not found",0)</f>
        <v>not found</v>
      </c>
    </row>
    <row r="355" spans="1:11" x14ac:dyDescent="0.3">
      <c r="A355" s="1" t="s">
        <v>361</v>
      </c>
      <c r="B355" s="1">
        <v>23</v>
      </c>
      <c r="C355" s="1">
        <v>9</v>
      </c>
      <c r="D355" s="1">
        <v>6</v>
      </c>
      <c r="E355" s="1">
        <v>14</v>
      </c>
      <c r="F355" s="1">
        <v>51</v>
      </c>
      <c r="G355" s="1">
        <v>4</v>
      </c>
      <c r="H355" s="1">
        <v>7</v>
      </c>
      <c r="I355" s="1">
        <f t="shared" si="46"/>
        <v>11</v>
      </c>
      <c r="J355" s="1">
        <f>_xlfn.XLOOKUP(A355,'[1]Point of Sale Analysis'!$A:$A,'[1]Point of Sale Analysis'!$B:$B,"not found",0)</f>
        <v>11</v>
      </c>
      <c r="K355" s="1">
        <f t="shared" ref="K355:K359" si="52">ABS(J355-I355)</f>
        <v>0</v>
      </c>
    </row>
    <row r="356" spans="1:11" x14ac:dyDescent="0.3">
      <c r="A356" s="1" t="s">
        <v>362</v>
      </c>
      <c r="B356" s="1">
        <v>12</v>
      </c>
      <c r="C356" s="1">
        <v>6</v>
      </c>
      <c r="D356" s="1">
        <v>5</v>
      </c>
      <c r="E356" s="1">
        <v>7</v>
      </c>
      <c r="F356" s="1">
        <v>26</v>
      </c>
      <c r="G356" s="1">
        <v>3</v>
      </c>
      <c r="H356" s="1">
        <v>3</v>
      </c>
      <c r="I356" s="1">
        <f t="shared" si="46"/>
        <v>6</v>
      </c>
      <c r="J356" s="1">
        <f>_xlfn.XLOOKUP(A356,'[1]Point of Sale Analysis'!$A:$A,'[1]Point of Sale Analysis'!$B:$B,"not found",0)</f>
        <v>4</v>
      </c>
      <c r="K356" s="1">
        <f t="shared" si="52"/>
        <v>2</v>
      </c>
    </row>
    <row r="357" spans="1:11" x14ac:dyDescent="0.3">
      <c r="A357" s="1" t="s">
        <v>363</v>
      </c>
      <c r="B357" s="1"/>
      <c r="C357" s="1"/>
      <c r="D357" s="1"/>
      <c r="E357" s="1">
        <v>1</v>
      </c>
      <c r="F357" s="1">
        <v>16</v>
      </c>
      <c r="G357" s="1">
        <v>6</v>
      </c>
      <c r="H357" s="1">
        <v>0</v>
      </c>
      <c r="I357" s="1">
        <f t="shared" si="46"/>
        <v>6</v>
      </c>
      <c r="J357" s="1">
        <f>_xlfn.XLOOKUP(A357,'[1]Point of Sale Analysis'!$A:$A,'[1]Point of Sale Analysis'!$B:$B,"not found",0)</f>
        <v>1</v>
      </c>
      <c r="K357" s="1">
        <f t="shared" si="52"/>
        <v>5</v>
      </c>
    </row>
    <row r="358" spans="1:11" x14ac:dyDescent="0.3">
      <c r="A358" s="1" t="s">
        <v>364</v>
      </c>
      <c r="B358" s="1">
        <v>7</v>
      </c>
      <c r="C358" s="1">
        <v>3</v>
      </c>
      <c r="D358" s="1">
        <v>13</v>
      </c>
      <c r="E358" s="1">
        <v>6</v>
      </c>
      <c r="F358" s="1">
        <v>44</v>
      </c>
      <c r="G358" s="1">
        <v>2</v>
      </c>
      <c r="H358" s="1">
        <v>4</v>
      </c>
      <c r="I358" s="1">
        <f t="shared" si="46"/>
        <v>6</v>
      </c>
      <c r="J358" s="1">
        <f>_xlfn.XLOOKUP(A358,'[1]Point of Sale Analysis'!$A:$A,'[1]Point of Sale Analysis'!$B:$B,"not found",0)</f>
        <v>2</v>
      </c>
      <c r="K358" s="1">
        <f t="shared" si="52"/>
        <v>4</v>
      </c>
    </row>
    <row r="359" spans="1:11" x14ac:dyDescent="0.3">
      <c r="A359" s="1" t="s">
        <v>365</v>
      </c>
      <c r="B359" s="1"/>
      <c r="C359" s="1"/>
      <c r="D359" s="1"/>
      <c r="E359" s="1">
        <v>4</v>
      </c>
      <c r="F359" s="1">
        <v>19</v>
      </c>
      <c r="G359" s="1">
        <v>1</v>
      </c>
      <c r="H359" s="1">
        <v>3</v>
      </c>
      <c r="I359" s="1">
        <f t="shared" si="46"/>
        <v>4</v>
      </c>
      <c r="J359" s="1">
        <f>_xlfn.XLOOKUP(A359,'[1]Point of Sale Analysis'!$A:$A,'[1]Point of Sale Analysis'!$B:$B,"not found",0)</f>
        <v>2</v>
      </c>
      <c r="K359" s="1">
        <f t="shared" si="52"/>
        <v>2</v>
      </c>
    </row>
    <row r="360" spans="1:11" hidden="1" x14ac:dyDescent="0.3">
      <c r="A360" t="s">
        <v>366</v>
      </c>
      <c r="B360">
        <v>2</v>
      </c>
      <c r="C360">
        <v>11</v>
      </c>
      <c r="D360">
        <v>3</v>
      </c>
      <c r="E360">
        <v>9</v>
      </c>
      <c r="F360">
        <v>22</v>
      </c>
      <c r="G360">
        <v>9</v>
      </c>
      <c r="H360">
        <v>0</v>
      </c>
      <c r="I360">
        <f t="shared" si="46"/>
        <v>9</v>
      </c>
      <c r="J360" t="str">
        <f>_xlfn.XLOOKUP(A360,'[1]Point of Sale Analysis'!$A:$A,'[1]Point of Sale Analysis'!$B:$B,"not found",0)</f>
        <v>not found</v>
      </c>
    </row>
    <row r="361" spans="1:11" x14ac:dyDescent="0.3">
      <c r="A361" s="1" t="s">
        <v>367</v>
      </c>
      <c r="B361" s="1">
        <v>20</v>
      </c>
      <c r="C361" s="1">
        <v>10</v>
      </c>
      <c r="D361" s="1">
        <v>2</v>
      </c>
      <c r="E361" s="1">
        <v>3</v>
      </c>
      <c r="F361" s="1">
        <v>13</v>
      </c>
      <c r="G361" s="1">
        <v>1</v>
      </c>
      <c r="H361" s="1">
        <v>5</v>
      </c>
      <c r="I361" s="1">
        <f t="shared" si="46"/>
        <v>6</v>
      </c>
      <c r="J361" s="1">
        <f>_xlfn.XLOOKUP(A361,'[1]Point of Sale Analysis'!$A:$A,'[1]Point of Sale Analysis'!$B:$B,"not found",0)</f>
        <v>2</v>
      </c>
      <c r="K361" s="1">
        <f t="shared" ref="K361:K363" si="53">ABS(J361-I361)</f>
        <v>4</v>
      </c>
    </row>
    <row r="362" spans="1:11" x14ac:dyDescent="0.3">
      <c r="A362" s="1" t="s">
        <v>368</v>
      </c>
      <c r="B362" s="1">
        <v>4</v>
      </c>
      <c r="C362" s="1"/>
      <c r="D362" s="1"/>
      <c r="E362" s="1">
        <v>3</v>
      </c>
      <c r="F362" s="1">
        <v>33</v>
      </c>
      <c r="G362" s="1">
        <v>6</v>
      </c>
      <c r="H362" s="1">
        <v>0</v>
      </c>
      <c r="I362" s="1">
        <f t="shared" si="46"/>
        <v>6</v>
      </c>
      <c r="J362" s="1">
        <f>_xlfn.XLOOKUP(A362,'[1]Point of Sale Analysis'!$A:$A,'[1]Point of Sale Analysis'!$B:$B,"not found",0)</f>
        <v>5</v>
      </c>
      <c r="K362" s="1">
        <f t="shared" si="53"/>
        <v>1</v>
      </c>
    </row>
    <row r="363" spans="1:11" x14ac:dyDescent="0.3">
      <c r="A363" s="1" t="s">
        <v>369</v>
      </c>
      <c r="B363" s="1">
        <v>12</v>
      </c>
      <c r="C363" s="1">
        <v>3</v>
      </c>
      <c r="D363" s="1">
        <v>2</v>
      </c>
      <c r="E363" s="1">
        <v>4</v>
      </c>
      <c r="F363" s="1">
        <v>82</v>
      </c>
      <c r="G363" s="1">
        <v>4</v>
      </c>
      <c r="H363" s="1">
        <v>0</v>
      </c>
      <c r="I363" s="1">
        <f t="shared" si="46"/>
        <v>4</v>
      </c>
      <c r="J363" s="1">
        <f>_xlfn.XLOOKUP(A363,'[1]Point of Sale Analysis'!$A:$A,'[1]Point of Sale Analysis'!$B:$B,"not found",0)</f>
        <v>7</v>
      </c>
      <c r="K363" s="1">
        <f t="shared" si="53"/>
        <v>3</v>
      </c>
    </row>
    <row r="364" spans="1:11" hidden="1" x14ac:dyDescent="0.3">
      <c r="A364" t="s">
        <v>370</v>
      </c>
      <c r="B364">
        <v>35</v>
      </c>
      <c r="C364">
        <v>16</v>
      </c>
      <c r="D364">
        <v>24</v>
      </c>
      <c r="E364">
        <v>18</v>
      </c>
      <c r="F364">
        <v>0</v>
      </c>
      <c r="G364">
        <v>4</v>
      </c>
      <c r="H364">
        <v>17</v>
      </c>
      <c r="I364">
        <f t="shared" si="46"/>
        <v>21</v>
      </c>
      <c r="J364" t="str">
        <f>_xlfn.XLOOKUP(A364,'[1]Point of Sale Analysis'!$A:$A,'[1]Point of Sale Analysis'!$B:$B,"not found",0)</f>
        <v>not found</v>
      </c>
    </row>
    <row r="365" spans="1:11" x14ac:dyDescent="0.3">
      <c r="A365" s="1" t="s">
        <v>371</v>
      </c>
      <c r="B365" s="1">
        <v>46</v>
      </c>
      <c r="C365" s="1">
        <v>29</v>
      </c>
      <c r="D365" s="1">
        <v>23</v>
      </c>
      <c r="E365" s="1">
        <v>19</v>
      </c>
      <c r="F365" s="1">
        <v>134</v>
      </c>
      <c r="G365" s="1">
        <v>11</v>
      </c>
      <c r="H365" s="1">
        <v>15</v>
      </c>
      <c r="I365" s="1">
        <f t="shared" si="46"/>
        <v>26</v>
      </c>
      <c r="J365" s="1">
        <f>_xlfn.XLOOKUP(A365,'[1]Point of Sale Analysis'!$A:$A,'[1]Point of Sale Analysis'!$B:$B,"not found",0)</f>
        <v>11</v>
      </c>
      <c r="K365" s="1">
        <f t="shared" ref="K365:K370" si="54">ABS(J365-I365)</f>
        <v>15</v>
      </c>
    </row>
    <row r="366" spans="1:11" x14ac:dyDescent="0.3">
      <c r="A366" s="1" t="s">
        <v>372</v>
      </c>
      <c r="B366" s="1">
        <v>2</v>
      </c>
      <c r="C366" s="1"/>
      <c r="D366" s="1"/>
      <c r="E366" s="1">
        <v>2</v>
      </c>
      <c r="F366" s="1">
        <v>8</v>
      </c>
      <c r="G366" s="1">
        <v>2</v>
      </c>
      <c r="H366" s="1">
        <v>0</v>
      </c>
      <c r="I366" s="1">
        <f t="shared" si="46"/>
        <v>2</v>
      </c>
      <c r="J366" s="1">
        <f>_xlfn.XLOOKUP(A366,'[1]Point of Sale Analysis'!$A:$A,'[1]Point of Sale Analysis'!$B:$B,"not found",0)</f>
        <v>2</v>
      </c>
      <c r="K366" s="1">
        <f t="shared" si="54"/>
        <v>0</v>
      </c>
    </row>
    <row r="367" spans="1:11" x14ac:dyDescent="0.3">
      <c r="A367" s="1" t="s">
        <v>373</v>
      </c>
      <c r="B367" s="1"/>
      <c r="C367" s="1"/>
      <c r="D367" s="1"/>
      <c r="E367" s="1">
        <v>5</v>
      </c>
      <c r="F367" s="1">
        <v>33</v>
      </c>
      <c r="G367" s="1">
        <v>1</v>
      </c>
      <c r="H367" s="1">
        <v>4</v>
      </c>
      <c r="I367" s="1">
        <f t="shared" si="46"/>
        <v>5</v>
      </c>
      <c r="J367" s="1">
        <f>_xlfn.XLOOKUP(A367,'[1]Point of Sale Analysis'!$A:$A,'[1]Point of Sale Analysis'!$B:$B,"not found",0)</f>
        <v>3</v>
      </c>
      <c r="K367" s="1">
        <f t="shared" si="54"/>
        <v>2</v>
      </c>
    </row>
    <row r="368" spans="1:11" x14ac:dyDescent="0.3">
      <c r="A368" s="1" t="s">
        <v>374</v>
      </c>
      <c r="B368" s="1">
        <v>6</v>
      </c>
      <c r="C368" s="1">
        <v>7</v>
      </c>
      <c r="D368" s="1">
        <v>8</v>
      </c>
      <c r="E368" s="1">
        <v>2</v>
      </c>
      <c r="F368" s="1">
        <v>25</v>
      </c>
      <c r="G368" s="1">
        <v>3</v>
      </c>
      <c r="H368" s="1">
        <v>3</v>
      </c>
      <c r="I368" s="1">
        <f t="shared" si="46"/>
        <v>6</v>
      </c>
      <c r="J368" s="1">
        <f>_xlfn.XLOOKUP(A368,'[1]Point of Sale Analysis'!$A:$A,'[1]Point of Sale Analysis'!$B:$B,"not found",0)</f>
        <v>1</v>
      </c>
      <c r="K368" s="1">
        <f t="shared" si="54"/>
        <v>5</v>
      </c>
    </row>
    <row r="369" spans="1:11" x14ac:dyDescent="0.3">
      <c r="A369" s="1" t="s">
        <v>375</v>
      </c>
      <c r="B369" s="1"/>
      <c r="C369" s="1"/>
      <c r="D369" s="1"/>
      <c r="E369" s="1">
        <v>5</v>
      </c>
      <c r="F369" s="1">
        <v>0</v>
      </c>
      <c r="G369" s="1">
        <v>3</v>
      </c>
      <c r="H369" s="1">
        <v>2</v>
      </c>
      <c r="I369" s="1">
        <f t="shared" si="46"/>
        <v>5</v>
      </c>
      <c r="J369" s="1">
        <f>_xlfn.XLOOKUP(A369,'[1]Point of Sale Analysis'!$A:$A,'[1]Point of Sale Analysis'!$B:$B,"not found",0)</f>
        <v>2</v>
      </c>
      <c r="K369" s="1">
        <f t="shared" si="54"/>
        <v>3</v>
      </c>
    </row>
    <row r="370" spans="1:11" x14ac:dyDescent="0.3">
      <c r="A370" s="1" t="s">
        <v>376</v>
      </c>
      <c r="B370" s="1"/>
      <c r="C370" s="1"/>
      <c r="D370" s="1"/>
      <c r="E370" s="1">
        <v>1</v>
      </c>
      <c r="F370" s="1">
        <v>13</v>
      </c>
      <c r="G370" s="1">
        <v>1</v>
      </c>
      <c r="H370" s="1">
        <v>0</v>
      </c>
      <c r="I370" s="1">
        <f t="shared" si="46"/>
        <v>1</v>
      </c>
      <c r="J370" s="1">
        <f>_xlfn.XLOOKUP(A370,'[1]Point of Sale Analysis'!$A:$A,'[1]Point of Sale Analysis'!$B:$B,"not found",0)</f>
        <v>1</v>
      </c>
      <c r="K370" s="1">
        <f t="shared" si="54"/>
        <v>0</v>
      </c>
    </row>
    <row r="371" spans="1:11" hidden="1" x14ac:dyDescent="0.3">
      <c r="A371" t="s">
        <v>377</v>
      </c>
      <c r="E371">
        <v>3</v>
      </c>
      <c r="F371">
        <v>6</v>
      </c>
      <c r="G371">
        <v>6</v>
      </c>
      <c r="H371">
        <v>0</v>
      </c>
      <c r="I371">
        <f t="shared" si="46"/>
        <v>6</v>
      </c>
      <c r="J371" t="str">
        <f>_xlfn.XLOOKUP(A371,'[1]Point of Sale Analysis'!$A:$A,'[1]Point of Sale Analysis'!$B:$B,"not found",0)</f>
        <v>not found</v>
      </c>
    </row>
    <row r="372" spans="1:11" hidden="1" x14ac:dyDescent="0.3">
      <c r="A372" t="s">
        <v>378</v>
      </c>
      <c r="B372">
        <v>2</v>
      </c>
      <c r="D372">
        <v>1</v>
      </c>
      <c r="F372">
        <v>0</v>
      </c>
      <c r="G372">
        <v>0</v>
      </c>
      <c r="H372">
        <v>1</v>
      </c>
      <c r="I372">
        <f t="shared" si="46"/>
        <v>1</v>
      </c>
      <c r="J372" t="str">
        <f>_xlfn.XLOOKUP(A372,'[1]Point of Sale Analysis'!$A:$A,'[1]Point of Sale Analysis'!$B:$B,"not found",0)</f>
        <v>not found</v>
      </c>
    </row>
    <row r="373" spans="1:11" hidden="1" x14ac:dyDescent="0.3">
      <c r="A373" t="s">
        <v>379</v>
      </c>
      <c r="B373">
        <v>3</v>
      </c>
      <c r="F373">
        <v>0</v>
      </c>
      <c r="G373">
        <v>0</v>
      </c>
      <c r="H373">
        <v>3</v>
      </c>
      <c r="I373">
        <f t="shared" si="46"/>
        <v>3</v>
      </c>
      <c r="J373" t="str">
        <f>_xlfn.XLOOKUP(A373,'[1]Point of Sale Analysis'!$A:$A,'[1]Point of Sale Analysis'!$B:$B,"not found",0)</f>
        <v>not found</v>
      </c>
    </row>
    <row r="374" spans="1:11" hidden="1" x14ac:dyDescent="0.3">
      <c r="A374" t="s">
        <v>380</v>
      </c>
      <c r="C374">
        <v>2</v>
      </c>
      <c r="F374">
        <v>0</v>
      </c>
      <c r="G374">
        <v>0</v>
      </c>
      <c r="H374">
        <v>2</v>
      </c>
      <c r="I374">
        <f t="shared" si="46"/>
        <v>2</v>
      </c>
      <c r="J374" t="str">
        <f>_xlfn.XLOOKUP(A374,'[1]Point of Sale Analysis'!$A:$A,'[1]Point of Sale Analysis'!$B:$B,"not found",0)</f>
        <v>not found</v>
      </c>
    </row>
    <row r="375" spans="1:11" hidden="1" x14ac:dyDescent="0.3">
      <c r="A375" t="s">
        <v>381</v>
      </c>
      <c r="B375">
        <v>1</v>
      </c>
      <c r="C375">
        <v>1</v>
      </c>
      <c r="D375">
        <v>1</v>
      </c>
      <c r="F375">
        <v>0</v>
      </c>
      <c r="G375">
        <v>0</v>
      </c>
      <c r="H375">
        <v>1</v>
      </c>
      <c r="I375">
        <f t="shared" si="46"/>
        <v>1</v>
      </c>
      <c r="J375" t="str">
        <f>_xlfn.XLOOKUP(A375,'[1]Point of Sale Analysis'!$A:$A,'[1]Point of Sale Analysis'!$B:$B,"not found",0)</f>
        <v>not found</v>
      </c>
    </row>
    <row r="376" spans="1:11" hidden="1" x14ac:dyDescent="0.3">
      <c r="A376" t="s">
        <v>382</v>
      </c>
      <c r="B376">
        <v>1</v>
      </c>
      <c r="D376">
        <v>3</v>
      </c>
      <c r="F376">
        <v>0</v>
      </c>
      <c r="G376">
        <v>0</v>
      </c>
      <c r="H376">
        <v>2</v>
      </c>
      <c r="I376">
        <f t="shared" si="46"/>
        <v>2</v>
      </c>
      <c r="J376" t="str">
        <f>_xlfn.XLOOKUP(A376,'[1]Point of Sale Analysis'!$A:$A,'[1]Point of Sale Analysis'!$B:$B,"not found",0)</f>
        <v>not found</v>
      </c>
    </row>
    <row r="377" spans="1:11" hidden="1" x14ac:dyDescent="0.3">
      <c r="A377" t="s">
        <v>383</v>
      </c>
      <c r="B377">
        <v>4</v>
      </c>
      <c r="C377">
        <v>7</v>
      </c>
      <c r="D377">
        <v>1</v>
      </c>
      <c r="F377">
        <v>0</v>
      </c>
      <c r="G377">
        <v>0</v>
      </c>
      <c r="H377">
        <v>4</v>
      </c>
      <c r="I377">
        <f t="shared" si="46"/>
        <v>4</v>
      </c>
      <c r="J377" t="str">
        <f>_xlfn.XLOOKUP(A377,'[1]Point of Sale Analysis'!$A:$A,'[1]Point of Sale Analysis'!$B:$B,"not found",0)</f>
        <v>not found</v>
      </c>
    </row>
    <row r="378" spans="1:11" hidden="1" x14ac:dyDescent="0.3">
      <c r="A378" t="s">
        <v>384</v>
      </c>
      <c r="B378">
        <v>2</v>
      </c>
      <c r="C378">
        <v>1</v>
      </c>
      <c r="D378">
        <v>1</v>
      </c>
      <c r="F378">
        <v>0</v>
      </c>
      <c r="G378">
        <v>0</v>
      </c>
      <c r="H378">
        <v>1</v>
      </c>
      <c r="I378">
        <f t="shared" si="46"/>
        <v>1</v>
      </c>
      <c r="J378" t="str">
        <f>_xlfn.XLOOKUP(A378,'[1]Point of Sale Analysis'!$A:$A,'[1]Point of Sale Analysis'!$B:$B,"not found",0)</f>
        <v>not found</v>
      </c>
    </row>
    <row r="379" spans="1:11" hidden="1" x14ac:dyDescent="0.3">
      <c r="A379" t="s">
        <v>385</v>
      </c>
      <c r="B379">
        <v>1</v>
      </c>
      <c r="F379">
        <v>0</v>
      </c>
      <c r="G379">
        <v>0</v>
      </c>
      <c r="H379">
        <v>1</v>
      </c>
      <c r="I379">
        <f t="shared" si="46"/>
        <v>1</v>
      </c>
      <c r="J379" t="str">
        <f>_xlfn.XLOOKUP(A379,'[1]Point of Sale Analysis'!$A:$A,'[1]Point of Sale Analysis'!$B:$B,"not found",0)</f>
        <v>not found</v>
      </c>
    </row>
    <row r="380" spans="1:11" hidden="1" x14ac:dyDescent="0.3">
      <c r="A380" t="s">
        <v>386</v>
      </c>
      <c r="C380">
        <v>1</v>
      </c>
      <c r="D380">
        <v>1</v>
      </c>
      <c r="F380">
        <v>0</v>
      </c>
      <c r="G380">
        <v>0</v>
      </c>
      <c r="H380">
        <v>1</v>
      </c>
      <c r="I380">
        <f t="shared" si="46"/>
        <v>1</v>
      </c>
      <c r="J380" t="str">
        <f>_xlfn.XLOOKUP(A380,'[1]Point of Sale Analysis'!$A:$A,'[1]Point of Sale Analysis'!$B:$B,"not found",0)</f>
        <v>not found</v>
      </c>
    </row>
    <row r="381" spans="1:11" hidden="1" x14ac:dyDescent="0.3">
      <c r="A381" t="s">
        <v>387</v>
      </c>
      <c r="B381">
        <v>1</v>
      </c>
      <c r="F381">
        <v>0</v>
      </c>
      <c r="G381">
        <v>0</v>
      </c>
      <c r="H381">
        <v>1</v>
      </c>
      <c r="I381">
        <f t="shared" si="46"/>
        <v>1</v>
      </c>
      <c r="J381" t="str">
        <f>_xlfn.XLOOKUP(A381,'[1]Point of Sale Analysis'!$A:$A,'[1]Point of Sale Analysis'!$B:$B,"not found",0)</f>
        <v>not found</v>
      </c>
    </row>
    <row r="382" spans="1:11" hidden="1" x14ac:dyDescent="0.3">
      <c r="A382" t="s">
        <v>388</v>
      </c>
      <c r="B382">
        <v>1</v>
      </c>
      <c r="C382">
        <v>1</v>
      </c>
      <c r="F382">
        <v>0</v>
      </c>
      <c r="G382">
        <v>0</v>
      </c>
      <c r="H382">
        <v>1</v>
      </c>
      <c r="I382">
        <f t="shared" si="46"/>
        <v>1</v>
      </c>
      <c r="J382" t="str">
        <f>_xlfn.XLOOKUP(A382,'[1]Point of Sale Analysis'!$A:$A,'[1]Point of Sale Analysis'!$B:$B,"not found",0)</f>
        <v>not found</v>
      </c>
    </row>
    <row r="383" spans="1:11" hidden="1" x14ac:dyDescent="0.3">
      <c r="A383" t="s">
        <v>389</v>
      </c>
      <c r="B383">
        <v>1</v>
      </c>
      <c r="C383">
        <v>2</v>
      </c>
      <c r="D383">
        <v>1</v>
      </c>
      <c r="F383">
        <v>0</v>
      </c>
      <c r="G383">
        <v>0</v>
      </c>
      <c r="H383">
        <v>1</v>
      </c>
      <c r="I383">
        <f t="shared" si="46"/>
        <v>1</v>
      </c>
      <c r="J383" t="str">
        <f>_xlfn.XLOOKUP(A383,'[1]Point of Sale Analysis'!$A:$A,'[1]Point of Sale Analysis'!$B:$B,"not found",0)</f>
        <v>not found</v>
      </c>
    </row>
    <row r="384" spans="1:11" hidden="1" x14ac:dyDescent="0.3">
      <c r="A384" t="s">
        <v>390</v>
      </c>
      <c r="B384">
        <v>1</v>
      </c>
      <c r="F384">
        <v>0</v>
      </c>
      <c r="G384">
        <v>0</v>
      </c>
      <c r="H384">
        <v>1</v>
      </c>
      <c r="I384">
        <f t="shared" si="46"/>
        <v>1</v>
      </c>
      <c r="J384" t="str">
        <f>_xlfn.XLOOKUP(A384,'[1]Point of Sale Analysis'!$A:$A,'[1]Point of Sale Analysis'!$B:$B,"not found",0)</f>
        <v>not found</v>
      </c>
    </row>
    <row r="385" spans="1:11" x14ac:dyDescent="0.3">
      <c r="A385" s="1" t="s">
        <v>391</v>
      </c>
      <c r="B385" s="1"/>
      <c r="C385" s="1"/>
      <c r="D385" s="1">
        <v>2</v>
      </c>
      <c r="E385" s="1">
        <v>1</v>
      </c>
      <c r="F385" s="1">
        <v>0</v>
      </c>
      <c r="G385" s="1">
        <v>2</v>
      </c>
      <c r="H385" s="1">
        <v>0</v>
      </c>
      <c r="I385" s="1">
        <f t="shared" si="46"/>
        <v>2</v>
      </c>
      <c r="J385" s="1">
        <f>_xlfn.XLOOKUP(A385,'[1]Point of Sale Analysis'!$A:$A,'[1]Point of Sale Analysis'!$B:$B,"not found",0)</f>
        <v>2</v>
      </c>
      <c r="K385" s="1">
        <f>ABS(J385-I385)</f>
        <v>0</v>
      </c>
    </row>
    <row r="386" spans="1:11" hidden="1" x14ac:dyDescent="0.3">
      <c r="A386" t="s">
        <v>392</v>
      </c>
      <c r="B386">
        <v>1</v>
      </c>
      <c r="F386">
        <v>10</v>
      </c>
      <c r="G386">
        <v>0</v>
      </c>
      <c r="H386">
        <v>1</v>
      </c>
      <c r="I386">
        <f t="shared" si="46"/>
        <v>1</v>
      </c>
      <c r="J386" t="str">
        <f>_xlfn.XLOOKUP(A386,'[1]Point of Sale Analysis'!$A:$A,'[1]Point of Sale Analysis'!$B:$B,"not found",0)</f>
        <v>not found</v>
      </c>
    </row>
    <row r="387" spans="1:11" hidden="1" x14ac:dyDescent="0.3">
      <c r="A387" t="s">
        <v>393</v>
      </c>
      <c r="B387">
        <v>1</v>
      </c>
      <c r="F387">
        <v>2</v>
      </c>
      <c r="G387">
        <v>0</v>
      </c>
      <c r="H387">
        <v>1</v>
      </c>
      <c r="I387">
        <f t="shared" ref="I387:I450" si="55">G387+H387</f>
        <v>1</v>
      </c>
      <c r="J387" t="str">
        <f>_xlfn.XLOOKUP(A387,'[1]Point of Sale Analysis'!$A:$A,'[1]Point of Sale Analysis'!$B:$B,"not found",0)</f>
        <v>not found</v>
      </c>
    </row>
    <row r="388" spans="1:11" x14ac:dyDescent="0.3">
      <c r="A388" s="1" t="s">
        <v>394</v>
      </c>
      <c r="B388" s="1">
        <v>1</v>
      </c>
      <c r="C388" s="1">
        <v>2</v>
      </c>
      <c r="D388" s="1">
        <v>2</v>
      </c>
      <c r="E388" s="1">
        <v>3</v>
      </c>
      <c r="F388" s="1">
        <v>2</v>
      </c>
      <c r="G388" s="1">
        <v>2</v>
      </c>
      <c r="H388" s="1">
        <v>0</v>
      </c>
      <c r="I388" s="1">
        <f t="shared" si="55"/>
        <v>2</v>
      </c>
      <c r="J388" s="1">
        <f>_xlfn.XLOOKUP(A388,'[1]Point of Sale Analysis'!$A:$A,'[1]Point of Sale Analysis'!$B:$B,"not found",0)</f>
        <v>1</v>
      </c>
      <c r="K388" s="1">
        <f>ABS(J388-I388)</f>
        <v>1</v>
      </c>
    </row>
    <row r="389" spans="1:11" hidden="1" x14ac:dyDescent="0.3">
      <c r="A389" t="s">
        <v>395</v>
      </c>
      <c r="B389">
        <v>1</v>
      </c>
      <c r="F389">
        <v>8</v>
      </c>
      <c r="G389">
        <v>0</v>
      </c>
      <c r="H389">
        <v>1</v>
      </c>
      <c r="I389">
        <f t="shared" si="55"/>
        <v>1</v>
      </c>
      <c r="J389" t="str">
        <f>_xlfn.XLOOKUP(A389,'[1]Point of Sale Analysis'!$A:$A,'[1]Point of Sale Analysis'!$B:$B,"not found",0)</f>
        <v>not found</v>
      </c>
    </row>
    <row r="390" spans="1:11" x14ac:dyDescent="0.3">
      <c r="A390" s="1" t="s">
        <v>396</v>
      </c>
      <c r="B390" s="1">
        <v>1</v>
      </c>
      <c r="C390" s="1"/>
      <c r="D390" s="1"/>
      <c r="E390" s="1"/>
      <c r="F390" s="1">
        <v>4</v>
      </c>
      <c r="G390" s="1">
        <v>0</v>
      </c>
      <c r="H390" s="1">
        <v>1</v>
      </c>
      <c r="I390" s="1">
        <f t="shared" si="55"/>
        <v>1</v>
      </c>
      <c r="J390" s="1">
        <f>_xlfn.XLOOKUP(A390,'[1]Point of Sale Analysis'!$A:$A,'[1]Point of Sale Analysis'!$B:$B,"not found",0)</f>
        <v>1</v>
      </c>
      <c r="K390" s="1">
        <f t="shared" ref="K390:K391" si="56">ABS(J390-I390)</f>
        <v>0</v>
      </c>
    </row>
    <row r="391" spans="1:11" x14ac:dyDescent="0.3">
      <c r="A391" s="1" t="s">
        <v>397</v>
      </c>
      <c r="B391" s="1">
        <v>1</v>
      </c>
      <c r="C391" s="1"/>
      <c r="D391" s="1"/>
      <c r="E391" s="1"/>
      <c r="F391" s="1">
        <v>2</v>
      </c>
      <c r="G391" s="1">
        <v>3</v>
      </c>
      <c r="H391" s="1">
        <v>0</v>
      </c>
      <c r="I391" s="1">
        <f t="shared" si="55"/>
        <v>3</v>
      </c>
      <c r="J391" s="1">
        <f>_xlfn.XLOOKUP(A391,'[1]Point of Sale Analysis'!$A:$A,'[1]Point of Sale Analysis'!$B:$B,"not found",0)</f>
        <v>2</v>
      </c>
      <c r="K391" s="1">
        <f t="shared" si="56"/>
        <v>1</v>
      </c>
    </row>
    <row r="392" spans="1:11" hidden="1" x14ac:dyDescent="0.3">
      <c r="A392" t="s">
        <v>398</v>
      </c>
      <c r="D392">
        <v>1</v>
      </c>
      <c r="E392">
        <v>1</v>
      </c>
      <c r="F392">
        <v>0</v>
      </c>
      <c r="G392">
        <v>3</v>
      </c>
      <c r="H392">
        <v>0</v>
      </c>
      <c r="I392">
        <f t="shared" si="55"/>
        <v>3</v>
      </c>
      <c r="J392" t="str">
        <f>_xlfn.XLOOKUP(A392,'[1]Point of Sale Analysis'!$A:$A,'[1]Point of Sale Analysis'!$B:$B,"not found",0)</f>
        <v>not found</v>
      </c>
    </row>
    <row r="393" spans="1:11" x14ac:dyDescent="0.3">
      <c r="A393" s="1" t="s">
        <v>399</v>
      </c>
      <c r="B393" s="1">
        <v>1</v>
      </c>
      <c r="C393" s="1">
        <v>2</v>
      </c>
      <c r="D393" s="1">
        <v>1</v>
      </c>
      <c r="E393" s="1"/>
      <c r="F393" s="1">
        <v>34</v>
      </c>
      <c r="G393" s="1">
        <v>5</v>
      </c>
      <c r="H393" s="1">
        <v>0</v>
      </c>
      <c r="I393" s="1">
        <f t="shared" si="55"/>
        <v>5</v>
      </c>
      <c r="J393" s="1">
        <f>_xlfn.XLOOKUP(A393,'[1]Point of Sale Analysis'!$A:$A,'[1]Point of Sale Analysis'!$B:$B,"not found",0)</f>
        <v>1</v>
      </c>
      <c r="K393" s="1">
        <f t="shared" ref="K393:K394" si="57">ABS(J393-I393)</f>
        <v>4</v>
      </c>
    </row>
    <row r="394" spans="1:11" x14ac:dyDescent="0.3">
      <c r="A394" s="1" t="s">
        <v>400</v>
      </c>
      <c r="B394" s="1">
        <v>1</v>
      </c>
      <c r="C394" s="1"/>
      <c r="D394" s="1">
        <v>2</v>
      </c>
      <c r="E394" s="1"/>
      <c r="F394" s="1">
        <v>22</v>
      </c>
      <c r="G394" s="1">
        <v>8</v>
      </c>
      <c r="H394" s="1">
        <v>0</v>
      </c>
      <c r="I394" s="1">
        <f t="shared" si="55"/>
        <v>8</v>
      </c>
      <c r="J394" s="1">
        <f>_xlfn.XLOOKUP(A394,'[1]Point of Sale Analysis'!$A:$A,'[1]Point of Sale Analysis'!$B:$B,"not found",0)</f>
        <v>2</v>
      </c>
      <c r="K394" s="1">
        <f t="shared" si="57"/>
        <v>6</v>
      </c>
    </row>
    <row r="395" spans="1:11" hidden="1" x14ac:dyDescent="0.3">
      <c r="A395" t="s">
        <v>401</v>
      </c>
      <c r="B395">
        <v>1</v>
      </c>
      <c r="F395">
        <v>12</v>
      </c>
      <c r="G395">
        <v>1</v>
      </c>
      <c r="H395">
        <v>0</v>
      </c>
      <c r="I395">
        <f t="shared" si="55"/>
        <v>1</v>
      </c>
      <c r="J395" t="str">
        <f>_xlfn.XLOOKUP(A395,'[1]Point of Sale Analysis'!$A:$A,'[1]Point of Sale Analysis'!$B:$B,"not found",0)</f>
        <v>not found</v>
      </c>
    </row>
    <row r="396" spans="1:11" x14ac:dyDescent="0.3">
      <c r="A396" s="1" t="s">
        <v>402</v>
      </c>
      <c r="B396" s="1">
        <v>11</v>
      </c>
      <c r="C396" s="1">
        <v>4</v>
      </c>
      <c r="D396" s="1">
        <v>10</v>
      </c>
      <c r="E396" s="1">
        <v>11</v>
      </c>
      <c r="F396" s="1">
        <v>12</v>
      </c>
      <c r="G396" s="1">
        <v>6</v>
      </c>
      <c r="H396" s="1">
        <v>4</v>
      </c>
      <c r="I396" s="1">
        <f t="shared" si="55"/>
        <v>10</v>
      </c>
      <c r="J396" s="1">
        <f>_xlfn.XLOOKUP(A396,'[1]Point of Sale Analysis'!$A:$A,'[1]Point of Sale Analysis'!$B:$B,"not found",0)</f>
        <v>7</v>
      </c>
      <c r="K396" s="1">
        <f t="shared" ref="K396:K398" si="58">ABS(J396-I396)</f>
        <v>3</v>
      </c>
    </row>
    <row r="397" spans="1:11" x14ac:dyDescent="0.3">
      <c r="A397" s="1" t="s">
        <v>403</v>
      </c>
      <c r="B397" s="1">
        <v>2</v>
      </c>
      <c r="C397" s="1">
        <v>3</v>
      </c>
      <c r="D397" s="1">
        <v>6</v>
      </c>
      <c r="E397" s="1">
        <v>7</v>
      </c>
      <c r="F397" s="1">
        <v>48</v>
      </c>
      <c r="G397" s="1">
        <v>13</v>
      </c>
      <c r="H397" s="1">
        <v>0</v>
      </c>
      <c r="I397" s="1">
        <f t="shared" si="55"/>
        <v>13</v>
      </c>
      <c r="J397" s="1">
        <f>_xlfn.XLOOKUP(A397,'[1]Point of Sale Analysis'!$A:$A,'[1]Point of Sale Analysis'!$B:$B,"not found",0)</f>
        <v>4</v>
      </c>
      <c r="K397" s="1">
        <f t="shared" si="58"/>
        <v>9</v>
      </c>
    </row>
    <row r="398" spans="1:11" x14ac:dyDescent="0.3">
      <c r="A398" s="1" t="s">
        <v>404</v>
      </c>
      <c r="B398" s="1">
        <v>11</v>
      </c>
      <c r="C398" s="1">
        <v>9</v>
      </c>
      <c r="D398" s="1">
        <v>6</v>
      </c>
      <c r="E398" s="1">
        <v>4</v>
      </c>
      <c r="F398" s="1">
        <v>475</v>
      </c>
      <c r="G398" s="1">
        <v>4</v>
      </c>
      <c r="H398" s="1">
        <v>3</v>
      </c>
      <c r="I398" s="1">
        <f t="shared" si="55"/>
        <v>7</v>
      </c>
      <c r="J398" s="1">
        <f>_xlfn.XLOOKUP(A398,'[1]Point of Sale Analysis'!$A:$A,'[1]Point of Sale Analysis'!$B:$B,"not found",0)</f>
        <v>4</v>
      </c>
      <c r="K398" s="1">
        <f t="shared" si="58"/>
        <v>3</v>
      </c>
    </row>
    <row r="399" spans="1:11" hidden="1" x14ac:dyDescent="0.3">
      <c r="A399" t="s">
        <v>405</v>
      </c>
      <c r="B399">
        <v>1</v>
      </c>
      <c r="F399">
        <v>5</v>
      </c>
      <c r="G399">
        <v>0</v>
      </c>
      <c r="H399">
        <v>1</v>
      </c>
      <c r="I399">
        <f t="shared" si="55"/>
        <v>1</v>
      </c>
      <c r="J399" t="str">
        <f>_xlfn.XLOOKUP(A399,'[1]Point of Sale Analysis'!$A:$A,'[1]Point of Sale Analysis'!$B:$B,"not found",0)</f>
        <v>not found</v>
      </c>
    </row>
    <row r="400" spans="1:11" x14ac:dyDescent="0.3">
      <c r="A400" s="1" t="s">
        <v>406</v>
      </c>
      <c r="B400" s="1">
        <v>3</v>
      </c>
      <c r="C400" s="1"/>
      <c r="D400" s="1">
        <v>6</v>
      </c>
      <c r="E400" s="1">
        <v>5</v>
      </c>
      <c r="F400" s="1">
        <v>35</v>
      </c>
      <c r="G400" s="1">
        <v>10</v>
      </c>
      <c r="H400" s="1">
        <v>0</v>
      </c>
      <c r="I400" s="1">
        <f t="shared" si="55"/>
        <v>10</v>
      </c>
      <c r="J400" s="1">
        <f>_xlfn.XLOOKUP(A400,'[1]Point of Sale Analysis'!$A:$A,'[1]Point of Sale Analysis'!$B:$B,"not found",0)</f>
        <v>3</v>
      </c>
      <c r="K400" s="1">
        <f t="shared" ref="K400:K401" si="59">ABS(J400-I400)</f>
        <v>7</v>
      </c>
    </row>
    <row r="401" spans="1:11" x14ac:dyDescent="0.3">
      <c r="A401" s="1" t="s">
        <v>407</v>
      </c>
      <c r="B401" s="1">
        <v>9</v>
      </c>
      <c r="C401" s="1">
        <v>13</v>
      </c>
      <c r="D401" s="1">
        <v>10</v>
      </c>
      <c r="E401" s="1">
        <v>9</v>
      </c>
      <c r="F401" s="1">
        <v>19</v>
      </c>
      <c r="G401" s="1">
        <v>2</v>
      </c>
      <c r="H401" s="1">
        <v>7</v>
      </c>
      <c r="I401" s="1">
        <f t="shared" si="55"/>
        <v>9</v>
      </c>
      <c r="J401" s="1">
        <f>_xlfn.XLOOKUP(A401,'[1]Point of Sale Analysis'!$A:$A,'[1]Point of Sale Analysis'!$B:$B,"not found",0)</f>
        <v>5</v>
      </c>
      <c r="K401" s="1">
        <f t="shared" si="59"/>
        <v>4</v>
      </c>
    </row>
    <row r="402" spans="1:11" hidden="1" x14ac:dyDescent="0.3">
      <c r="A402" t="s">
        <v>408</v>
      </c>
      <c r="B402">
        <v>2</v>
      </c>
      <c r="C402">
        <v>1</v>
      </c>
      <c r="D402">
        <v>1</v>
      </c>
      <c r="E402">
        <v>1</v>
      </c>
      <c r="F402">
        <v>6</v>
      </c>
      <c r="G402">
        <v>1</v>
      </c>
      <c r="H402">
        <v>0</v>
      </c>
      <c r="I402">
        <f t="shared" si="55"/>
        <v>1</v>
      </c>
      <c r="J402" t="str">
        <f>_xlfn.XLOOKUP(A402,'[1]Point of Sale Analysis'!$A:$A,'[1]Point of Sale Analysis'!$B:$B,"not found",0)</f>
        <v>not found</v>
      </c>
    </row>
    <row r="403" spans="1:11" hidden="1" x14ac:dyDescent="0.3">
      <c r="A403" t="s">
        <v>409</v>
      </c>
      <c r="B403">
        <v>2</v>
      </c>
      <c r="D403">
        <v>2</v>
      </c>
      <c r="E403">
        <v>1</v>
      </c>
      <c r="F403">
        <v>1</v>
      </c>
      <c r="G403">
        <v>4</v>
      </c>
      <c r="H403">
        <v>0</v>
      </c>
      <c r="I403">
        <f t="shared" si="55"/>
        <v>4</v>
      </c>
      <c r="J403" t="str">
        <f>_xlfn.XLOOKUP(A403,'[1]Point of Sale Analysis'!$A:$A,'[1]Point of Sale Analysis'!$B:$B,"not found",0)</f>
        <v>not found</v>
      </c>
    </row>
    <row r="404" spans="1:11" hidden="1" x14ac:dyDescent="0.3">
      <c r="A404" t="s">
        <v>410</v>
      </c>
      <c r="B404">
        <v>3</v>
      </c>
      <c r="D404">
        <v>4</v>
      </c>
      <c r="E404">
        <v>2</v>
      </c>
      <c r="F404">
        <v>4</v>
      </c>
      <c r="G404">
        <v>6</v>
      </c>
      <c r="H404">
        <v>0</v>
      </c>
      <c r="I404">
        <f t="shared" si="55"/>
        <v>6</v>
      </c>
      <c r="J404" t="str">
        <f>_xlfn.XLOOKUP(A404,'[1]Point of Sale Analysis'!$A:$A,'[1]Point of Sale Analysis'!$B:$B,"not found",0)</f>
        <v>not found</v>
      </c>
    </row>
    <row r="405" spans="1:11" hidden="1" x14ac:dyDescent="0.3">
      <c r="A405" t="s">
        <v>411</v>
      </c>
      <c r="B405">
        <v>2</v>
      </c>
      <c r="F405">
        <v>24</v>
      </c>
      <c r="G405">
        <v>0</v>
      </c>
      <c r="H405">
        <v>2</v>
      </c>
      <c r="I405">
        <f t="shared" si="55"/>
        <v>2</v>
      </c>
      <c r="J405" t="str">
        <f>_xlfn.XLOOKUP(A405,'[1]Point of Sale Analysis'!$A:$A,'[1]Point of Sale Analysis'!$B:$B,"not found",0)</f>
        <v>not found</v>
      </c>
    </row>
    <row r="406" spans="1:11" hidden="1" x14ac:dyDescent="0.3">
      <c r="A406" t="s">
        <v>412</v>
      </c>
      <c r="B406">
        <v>3</v>
      </c>
      <c r="D406">
        <v>1</v>
      </c>
      <c r="E406">
        <v>1</v>
      </c>
      <c r="F406">
        <v>0</v>
      </c>
      <c r="G406">
        <v>3</v>
      </c>
      <c r="H406">
        <v>0</v>
      </c>
      <c r="I406">
        <f t="shared" si="55"/>
        <v>3</v>
      </c>
      <c r="J406" t="str">
        <f>_xlfn.XLOOKUP(A406,'[1]Point of Sale Analysis'!$A:$A,'[1]Point of Sale Analysis'!$B:$B,"not found",0)</f>
        <v>not found</v>
      </c>
    </row>
    <row r="407" spans="1:11" hidden="1" x14ac:dyDescent="0.3">
      <c r="A407" t="s">
        <v>413</v>
      </c>
      <c r="B407">
        <v>1</v>
      </c>
      <c r="F407">
        <v>0</v>
      </c>
      <c r="G407">
        <v>0</v>
      </c>
      <c r="H407">
        <v>1</v>
      </c>
      <c r="I407">
        <f t="shared" si="55"/>
        <v>1</v>
      </c>
      <c r="J407" t="str">
        <f>_xlfn.XLOOKUP(A407,'[1]Point of Sale Analysis'!$A:$A,'[1]Point of Sale Analysis'!$B:$B,"not found",0)</f>
        <v>not found</v>
      </c>
    </row>
    <row r="408" spans="1:11" hidden="1" x14ac:dyDescent="0.3">
      <c r="A408" t="s">
        <v>414</v>
      </c>
      <c r="B408">
        <v>2</v>
      </c>
      <c r="C408">
        <v>2</v>
      </c>
      <c r="D408">
        <v>1</v>
      </c>
      <c r="E408">
        <v>3</v>
      </c>
      <c r="F408">
        <v>0</v>
      </c>
      <c r="G408">
        <v>0</v>
      </c>
      <c r="H408">
        <v>2</v>
      </c>
      <c r="I408">
        <f t="shared" si="55"/>
        <v>2</v>
      </c>
      <c r="J408" t="str">
        <f>_xlfn.XLOOKUP(A408,'[1]Point of Sale Analysis'!$A:$A,'[1]Point of Sale Analysis'!$B:$B,"not found",0)</f>
        <v>not found</v>
      </c>
    </row>
    <row r="409" spans="1:11" hidden="1" x14ac:dyDescent="0.3">
      <c r="A409" t="s">
        <v>415</v>
      </c>
      <c r="D409">
        <v>3</v>
      </c>
      <c r="F409">
        <v>0</v>
      </c>
      <c r="G409">
        <v>2</v>
      </c>
      <c r="H409">
        <v>1</v>
      </c>
      <c r="I409">
        <f t="shared" si="55"/>
        <v>3</v>
      </c>
      <c r="J409" t="str">
        <f>_xlfn.XLOOKUP(A409,'[1]Point of Sale Analysis'!$A:$A,'[1]Point of Sale Analysis'!$B:$B,"not found",0)</f>
        <v>not found</v>
      </c>
    </row>
    <row r="410" spans="1:11" x14ac:dyDescent="0.3">
      <c r="A410" s="1" t="s">
        <v>416</v>
      </c>
      <c r="B410" s="1"/>
      <c r="C410" s="1"/>
      <c r="D410" s="1"/>
      <c r="E410" s="1">
        <v>1</v>
      </c>
      <c r="F410" s="1">
        <v>7</v>
      </c>
      <c r="G410" s="1">
        <v>4</v>
      </c>
      <c r="H410" s="1">
        <v>0</v>
      </c>
      <c r="I410" s="1">
        <f t="shared" si="55"/>
        <v>4</v>
      </c>
      <c r="J410" s="1">
        <f>_xlfn.XLOOKUP(A410,'[1]Point of Sale Analysis'!$A:$A,'[1]Point of Sale Analysis'!$B:$B,"not found",0)</f>
        <v>2</v>
      </c>
      <c r="K410" s="1">
        <f>ABS(J410-I410)</f>
        <v>2</v>
      </c>
    </row>
    <row r="411" spans="1:11" hidden="1" x14ac:dyDescent="0.3">
      <c r="A411" t="s">
        <v>417</v>
      </c>
      <c r="B411">
        <v>7</v>
      </c>
      <c r="C411">
        <v>2</v>
      </c>
      <c r="D411">
        <v>10</v>
      </c>
      <c r="E411">
        <v>5</v>
      </c>
      <c r="F411">
        <v>0</v>
      </c>
      <c r="G411">
        <v>0</v>
      </c>
      <c r="H411">
        <v>6</v>
      </c>
      <c r="I411">
        <f t="shared" si="55"/>
        <v>6</v>
      </c>
      <c r="J411" t="str">
        <f>_xlfn.XLOOKUP(A411,'[1]Point of Sale Analysis'!$A:$A,'[1]Point of Sale Analysis'!$B:$B,"not found",0)</f>
        <v>not found</v>
      </c>
    </row>
    <row r="412" spans="1:11" hidden="1" x14ac:dyDescent="0.3">
      <c r="A412" t="s">
        <v>418</v>
      </c>
      <c r="B412">
        <v>2</v>
      </c>
      <c r="F412">
        <v>0</v>
      </c>
      <c r="G412">
        <v>0</v>
      </c>
      <c r="H412">
        <v>2</v>
      </c>
      <c r="I412">
        <f t="shared" si="55"/>
        <v>2</v>
      </c>
      <c r="J412" t="str">
        <f>_xlfn.XLOOKUP(A412,'[1]Point of Sale Analysis'!$A:$A,'[1]Point of Sale Analysis'!$B:$B,"not found",0)</f>
        <v>not found</v>
      </c>
    </row>
    <row r="413" spans="1:11" hidden="1" x14ac:dyDescent="0.3">
      <c r="A413" t="s">
        <v>419</v>
      </c>
      <c r="B413">
        <v>1</v>
      </c>
      <c r="F413">
        <v>3</v>
      </c>
      <c r="G413">
        <v>0</v>
      </c>
      <c r="H413">
        <v>1</v>
      </c>
      <c r="I413">
        <f t="shared" si="55"/>
        <v>1</v>
      </c>
      <c r="J413" t="str">
        <f>_xlfn.XLOOKUP(A413,'[1]Point of Sale Analysis'!$A:$A,'[1]Point of Sale Analysis'!$B:$B,"not found",0)</f>
        <v>not found</v>
      </c>
    </row>
    <row r="414" spans="1:11" hidden="1" x14ac:dyDescent="0.3">
      <c r="A414" t="s">
        <v>420</v>
      </c>
      <c r="B414">
        <v>2</v>
      </c>
      <c r="D414">
        <v>2</v>
      </c>
      <c r="E414">
        <v>4</v>
      </c>
      <c r="F414">
        <v>0</v>
      </c>
      <c r="G414">
        <v>0</v>
      </c>
      <c r="H414">
        <v>2</v>
      </c>
      <c r="I414">
        <f t="shared" si="55"/>
        <v>2</v>
      </c>
      <c r="J414" t="str">
        <f>_xlfn.XLOOKUP(A414,'[1]Point of Sale Analysis'!$A:$A,'[1]Point of Sale Analysis'!$B:$B,"not found",0)</f>
        <v>not found</v>
      </c>
    </row>
    <row r="415" spans="1:11" x14ac:dyDescent="0.3">
      <c r="A415" s="1" t="s">
        <v>421</v>
      </c>
      <c r="B415" s="1">
        <v>5</v>
      </c>
      <c r="C415" s="1">
        <v>2</v>
      </c>
      <c r="D415" s="1">
        <v>2</v>
      </c>
      <c r="E415" s="1">
        <v>5</v>
      </c>
      <c r="F415" s="1">
        <v>0</v>
      </c>
      <c r="G415" s="1">
        <v>2</v>
      </c>
      <c r="H415" s="1">
        <v>1</v>
      </c>
      <c r="I415" s="1">
        <f t="shared" si="55"/>
        <v>3</v>
      </c>
      <c r="J415" s="1">
        <f>_xlfn.XLOOKUP(A415,'[1]Point of Sale Analysis'!$A:$A,'[1]Point of Sale Analysis'!$B:$B,"not found",0)</f>
        <v>4</v>
      </c>
      <c r="K415" s="1">
        <f>ABS(J415-I415)</f>
        <v>1</v>
      </c>
    </row>
    <row r="416" spans="1:11" hidden="1" x14ac:dyDescent="0.3">
      <c r="A416" t="s">
        <v>422</v>
      </c>
      <c r="E416">
        <v>4</v>
      </c>
      <c r="F416">
        <v>0</v>
      </c>
      <c r="G416">
        <v>6</v>
      </c>
      <c r="H416">
        <v>0</v>
      </c>
      <c r="I416">
        <f t="shared" si="55"/>
        <v>6</v>
      </c>
      <c r="J416" t="str">
        <f>_xlfn.XLOOKUP(A416,'[1]Point of Sale Analysis'!$A:$A,'[1]Point of Sale Analysis'!$B:$B,"not found",0)</f>
        <v>not found</v>
      </c>
    </row>
    <row r="417" spans="1:11" hidden="1" x14ac:dyDescent="0.3">
      <c r="A417" t="s">
        <v>423</v>
      </c>
      <c r="C417">
        <v>1</v>
      </c>
      <c r="F417">
        <v>6</v>
      </c>
      <c r="G417">
        <v>3</v>
      </c>
      <c r="H417">
        <v>0</v>
      </c>
      <c r="I417">
        <f t="shared" si="55"/>
        <v>3</v>
      </c>
      <c r="J417" t="str">
        <f>_xlfn.XLOOKUP(A417,'[1]Point of Sale Analysis'!$A:$A,'[1]Point of Sale Analysis'!$B:$B,"not found",0)</f>
        <v>not found</v>
      </c>
    </row>
    <row r="418" spans="1:11" x14ac:dyDescent="0.3">
      <c r="A418" s="1" t="s">
        <v>424</v>
      </c>
      <c r="B418" s="1">
        <v>2</v>
      </c>
      <c r="C418" s="1">
        <v>3</v>
      </c>
      <c r="D418" s="1">
        <v>1</v>
      </c>
      <c r="E418" s="1">
        <v>1</v>
      </c>
      <c r="F418" s="1">
        <v>0</v>
      </c>
      <c r="G418" s="1">
        <v>1</v>
      </c>
      <c r="H418" s="1">
        <v>0</v>
      </c>
      <c r="I418" s="1">
        <f t="shared" si="55"/>
        <v>1</v>
      </c>
      <c r="J418" s="1">
        <f>_xlfn.XLOOKUP(A418,'[1]Point of Sale Analysis'!$A:$A,'[1]Point of Sale Analysis'!$B:$B,"not found",0)</f>
        <v>2</v>
      </c>
      <c r="K418" s="1">
        <f>ABS(J418-I418)</f>
        <v>1</v>
      </c>
    </row>
    <row r="419" spans="1:11" hidden="1" x14ac:dyDescent="0.3">
      <c r="A419" t="s">
        <v>425</v>
      </c>
      <c r="B419">
        <v>14</v>
      </c>
      <c r="C419">
        <v>5</v>
      </c>
      <c r="D419">
        <v>9</v>
      </c>
      <c r="E419">
        <v>11</v>
      </c>
      <c r="F419">
        <v>43</v>
      </c>
      <c r="G419">
        <v>8</v>
      </c>
      <c r="H419">
        <v>2</v>
      </c>
      <c r="I419">
        <f t="shared" si="55"/>
        <v>10</v>
      </c>
      <c r="J419" t="str">
        <f>_xlfn.XLOOKUP(A419,'[1]Point of Sale Analysis'!$A:$A,'[1]Point of Sale Analysis'!$B:$B,"not found",0)</f>
        <v>not found</v>
      </c>
    </row>
    <row r="420" spans="1:11" hidden="1" x14ac:dyDescent="0.3">
      <c r="A420" t="s">
        <v>426</v>
      </c>
      <c r="D420">
        <v>1</v>
      </c>
      <c r="E420">
        <v>2</v>
      </c>
      <c r="F420">
        <v>0</v>
      </c>
      <c r="G420">
        <v>0</v>
      </c>
      <c r="H420">
        <v>1</v>
      </c>
      <c r="I420">
        <f t="shared" si="55"/>
        <v>1</v>
      </c>
      <c r="J420" t="str">
        <f>_xlfn.XLOOKUP(A420,'[1]Point of Sale Analysis'!$A:$A,'[1]Point of Sale Analysis'!$B:$B,"not found",0)</f>
        <v>not found</v>
      </c>
    </row>
    <row r="421" spans="1:11" x14ac:dyDescent="0.3">
      <c r="A421" s="1" t="s">
        <v>427</v>
      </c>
      <c r="B421" s="1">
        <v>1</v>
      </c>
      <c r="C421" s="1">
        <v>1</v>
      </c>
      <c r="D421" s="1"/>
      <c r="E421" s="1">
        <v>5</v>
      </c>
      <c r="F421" s="1">
        <v>0</v>
      </c>
      <c r="G421" s="1">
        <v>0</v>
      </c>
      <c r="H421" s="1">
        <v>1</v>
      </c>
      <c r="I421" s="1">
        <f t="shared" si="55"/>
        <v>1</v>
      </c>
      <c r="J421" s="1">
        <f>_xlfn.XLOOKUP(A421,'[1]Point of Sale Analysis'!$A:$A,'[1]Point of Sale Analysis'!$B:$B,"not found",0)</f>
        <v>1</v>
      </c>
      <c r="K421" s="1">
        <f t="shared" ref="K421:K422" si="60">ABS(J421-I421)</f>
        <v>0</v>
      </c>
    </row>
    <row r="422" spans="1:11" x14ac:dyDescent="0.3">
      <c r="A422" s="1" t="s">
        <v>428</v>
      </c>
      <c r="B422" s="1">
        <v>2</v>
      </c>
      <c r="C422" s="1">
        <v>1</v>
      </c>
      <c r="D422" s="1"/>
      <c r="E422" s="1">
        <v>1</v>
      </c>
      <c r="F422" s="1">
        <v>6</v>
      </c>
      <c r="G422" s="1">
        <v>5</v>
      </c>
      <c r="H422" s="1">
        <v>0</v>
      </c>
      <c r="I422" s="1">
        <f t="shared" si="55"/>
        <v>5</v>
      </c>
      <c r="J422" s="1">
        <f>_xlfn.XLOOKUP(A422,'[1]Point of Sale Analysis'!$A:$A,'[1]Point of Sale Analysis'!$B:$B,"not found",0)</f>
        <v>2</v>
      </c>
      <c r="K422" s="1">
        <f t="shared" si="60"/>
        <v>3</v>
      </c>
    </row>
    <row r="423" spans="1:11" hidden="1" x14ac:dyDescent="0.3">
      <c r="A423" t="s">
        <v>429</v>
      </c>
      <c r="B423">
        <v>2</v>
      </c>
      <c r="C423">
        <v>1</v>
      </c>
      <c r="F423">
        <v>0</v>
      </c>
      <c r="G423">
        <v>0</v>
      </c>
      <c r="H423">
        <v>1</v>
      </c>
      <c r="I423">
        <f t="shared" si="55"/>
        <v>1</v>
      </c>
      <c r="J423" t="str">
        <f>_xlfn.XLOOKUP(A423,'[1]Point of Sale Analysis'!$A:$A,'[1]Point of Sale Analysis'!$B:$B,"not found",0)</f>
        <v>not found</v>
      </c>
    </row>
    <row r="424" spans="1:11" hidden="1" x14ac:dyDescent="0.3">
      <c r="A424" t="s">
        <v>430</v>
      </c>
      <c r="D424">
        <v>1</v>
      </c>
      <c r="E424">
        <v>2</v>
      </c>
      <c r="F424">
        <v>0</v>
      </c>
      <c r="G424">
        <v>0</v>
      </c>
      <c r="H424">
        <v>1</v>
      </c>
      <c r="I424">
        <f t="shared" si="55"/>
        <v>1</v>
      </c>
      <c r="J424" t="str">
        <f>_xlfn.XLOOKUP(A424,'[1]Point of Sale Analysis'!$A:$A,'[1]Point of Sale Analysis'!$B:$B,"not found",0)</f>
        <v>not found</v>
      </c>
    </row>
    <row r="425" spans="1:11" hidden="1" x14ac:dyDescent="0.3">
      <c r="A425" t="s">
        <v>431</v>
      </c>
      <c r="B425">
        <v>2</v>
      </c>
      <c r="F425">
        <v>0</v>
      </c>
      <c r="G425">
        <v>0</v>
      </c>
      <c r="H425">
        <v>2</v>
      </c>
      <c r="I425">
        <f t="shared" si="55"/>
        <v>2</v>
      </c>
      <c r="J425" t="str">
        <f>_xlfn.XLOOKUP(A425,'[1]Point of Sale Analysis'!$A:$A,'[1]Point of Sale Analysis'!$B:$B,"not found",0)</f>
        <v>not found</v>
      </c>
    </row>
    <row r="426" spans="1:11" x14ac:dyDescent="0.3">
      <c r="A426" s="1" t="s">
        <v>432</v>
      </c>
      <c r="B426" s="1">
        <v>9</v>
      </c>
      <c r="C426" s="1">
        <v>8</v>
      </c>
      <c r="D426" s="1">
        <v>10</v>
      </c>
      <c r="E426" s="1">
        <v>6</v>
      </c>
      <c r="F426" s="1">
        <v>0</v>
      </c>
      <c r="G426" s="1">
        <v>5</v>
      </c>
      <c r="H426" s="1">
        <v>3</v>
      </c>
      <c r="I426" s="1">
        <f t="shared" si="55"/>
        <v>8</v>
      </c>
      <c r="J426" s="1">
        <f>_xlfn.XLOOKUP(A426,'[1]Point of Sale Analysis'!$A:$A,'[1]Point of Sale Analysis'!$B:$B,"not found",0)</f>
        <v>2</v>
      </c>
      <c r="K426" s="1">
        <f t="shared" ref="K426:K428" si="61">ABS(J426-I426)</f>
        <v>6</v>
      </c>
    </row>
    <row r="427" spans="1:11" x14ac:dyDescent="0.3">
      <c r="A427" s="1" t="s">
        <v>433</v>
      </c>
      <c r="B427" s="1"/>
      <c r="C427" s="1"/>
      <c r="D427" s="1"/>
      <c r="E427" s="1">
        <v>1</v>
      </c>
      <c r="F427" s="1">
        <v>7</v>
      </c>
      <c r="G427" s="1">
        <v>5</v>
      </c>
      <c r="H427" s="1">
        <v>0</v>
      </c>
      <c r="I427" s="1">
        <f t="shared" si="55"/>
        <v>5</v>
      </c>
      <c r="J427" s="1">
        <f>_xlfn.XLOOKUP(A427,'[1]Point of Sale Analysis'!$A:$A,'[1]Point of Sale Analysis'!$B:$B,"not found",0)</f>
        <v>2</v>
      </c>
      <c r="K427" s="1">
        <f t="shared" si="61"/>
        <v>3</v>
      </c>
    </row>
    <row r="428" spans="1:11" x14ac:dyDescent="0.3">
      <c r="A428" s="1" t="s">
        <v>434</v>
      </c>
      <c r="B428" s="1">
        <v>2</v>
      </c>
      <c r="C428" s="1">
        <v>1</v>
      </c>
      <c r="D428" s="1">
        <v>3</v>
      </c>
      <c r="E428" s="1"/>
      <c r="F428" s="1">
        <v>0</v>
      </c>
      <c r="G428" s="1">
        <v>2</v>
      </c>
      <c r="H428" s="1">
        <v>0</v>
      </c>
      <c r="I428" s="1">
        <f t="shared" si="55"/>
        <v>2</v>
      </c>
      <c r="J428" s="1">
        <f>_xlfn.XLOOKUP(A428,'[1]Point of Sale Analysis'!$A:$A,'[1]Point of Sale Analysis'!$B:$B,"not found",0)</f>
        <v>1</v>
      </c>
      <c r="K428" s="1">
        <f t="shared" si="61"/>
        <v>1</v>
      </c>
    </row>
    <row r="429" spans="1:11" hidden="1" x14ac:dyDescent="0.3">
      <c r="A429" t="s">
        <v>435</v>
      </c>
      <c r="B429">
        <v>5</v>
      </c>
      <c r="D429">
        <v>3</v>
      </c>
      <c r="E429">
        <v>1</v>
      </c>
      <c r="F429">
        <v>12</v>
      </c>
      <c r="G429">
        <v>4</v>
      </c>
      <c r="H429">
        <v>0</v>
      </c>
      <c r="I429">
        <f t="shared" si="55"/>
        <v>4</v>
      </c>
      <c r="J429" t="str">
        <f>_xlfn.XLOOKUP(A429,'[1]Point of Sale Analysis'!$A:$A,'[1]Point of Sale Analysis'!$B:$B,"not found",0)</f>
        <v>not found</v>
      </c>
    </row>
    <row r="430" spans="1:11" x14ac:dyDescent="0.3">
      <c r="A430" s="1" t="s">
        <v>436</v>
      </c>
      <c r="B430" s="1">
        <v>6</v>
      </c>
      <c r="C430" s="1">
        <v>3</v>
      </c>
      <c r="D430" s="1"/>
      <c r="E430" s="1">
        <v>2</v>
      </c>
      <c r="F430" s="1">
        <v>0</v>
      </c>
      <c r="G430" s="1">
        <v>-1</v>
      </c>
      <c r="H430" s="1">
        <v>4</v>
      </c>
      <c r="I430" s="1">
        <f t="shared" si="55"/>
        <v>3</v>
      </c>
      <c r="J430" s="1">
        <f>_xlfn.XLOOKUP(A430,'[1]Point of Sale Analysis'!$A:$A,'[1]Point of Sale Analysis'!$B:$B,"not found",0)</f>
        <v>1</v>
      </c>
      <c r="K430" s="1">
        <f>ABS(J430-I430)</f>
        <v>2</v>
      </c>
    </row>
    <row r="431" spans="1:11" hidden="1" x14ac:dyDescent="0.3">
      <c r="A431" t="s">
        <v>437</v>
      </c>
      <c r="B431">
        <v>3</v>
      </c>
      <c r="C431">
        <v>1</v>
      </c>
      <c r="D431">
        <v>2</v>
      </c>
      <c r="E431">
        <v>1</v>
      </c>
      <c r="F431">
        <v>1</v>
      </c>
      <c r="G431">
        <v>0</v>
      </c>
      <c r="H431">
        <v>1</v>
      </c>
      <c r="I431">
        <f t="shared" si="55"/>
        <v>1</v>
      </c>
      <c r="J431" t="str">
        <f>_xlfn.XLOOKUP(A431,'[1]Point of Sale Analysis'!$A:$A,'[1]Point of Sale Analysis'!$B:$B,"not found",0)</f>
        <v>not found</v>
      </c>
    </row>
    <row r="432" spans="1:11" hidden="1" x14ac:dyDescent="0.3">
      <c r="A432" t="s">
        <v>438</v>
      </c>
      <c r="B432">
        <v>2</v>
      </c>
      <c r="F432">
        <v>0</v>
      </c>
      <c r="G432">
        <v>0</v>
      </c>
      <c r="H432">
        <v>2</v>
      </c>
      <c r="I432">
        <f t="shared" si="55"/>
        <v>2</v>
      </c>
      <c r="J432" t="str">
        <f>_xlfn.XLOOKUP(A432,'[1]Point of Sale Analysis'!$A:$A,'[1]Point of Sale Analysis'!$B:$B,"not found",0)</f>
        <v>not found</v>
      </c>
    </row>
    <row r="433" spans="1:11" x14ac:dyDescent="0.3">
      <c r="A433" s="1" t="s">
        <v>439</v>
      </c>
      <c r="B433" s="1">
        <v>3</v>
      </c>
      <c r="C433" s="1">
        <v>2</v>
      </c>
      <c r="D433" s="1">
        <v>1</v>
      </c>
      <c r="E433" s="1"/>
      <c r="F433" s="1">
        <v>4</v>
      </c>
      <c r="G433" s="1">
        <v>0</v>
      </c>
      <c r="H433" s="1">
        <v>2</v>
      </c>
      <c r="I433" s="1">
        <f t="shared" si="55"/>
        <v>2</v>
      </c>
      <c r="J433" s="1">
        <f>_xlfn.XLOOKUP(A433,'[1]Point of Sale Analysis'!$A:$A,'[1]Point of Sale Analysis'!$B:$B,"not found",0)</f>
        <v>1</v>
      </c>
      <c r="K433" s="1">
        <f>ABS(J433-I433)</f>
        <v>1</v>
      </c>
    </row>
    <row r="434" spans="1:11" hidden="1" x14ac:dyDescent="0.3">
      <c r="A434" t="s">
        <v>440</v>
      </c>
      <c r="B434">
        <v>4</v>
      </c>
      <c r="C434">
        <v>5</v>
      </c>
      <c r="D434">
        <v>1</v>
      </c>
      <c r="E434">
        <v>3</v>
      </c>
      <c r="F434">
        <v>1</v>
      </c>
      <c r="G434">
        <v>0</v>
      </c>
      <c r="H434">
        <v>3</v>
      </c>
      <c r="I434">
        <f t="shared" si="55"/>
        <v>3</v>
      </c>
      <c r="J434" t="str">
        <f>_xlfn.XLOOKUP(A434,'[1]Point of Sale Analysis'!$A:$A,'[1]Point of Sale Analysis'!$B:$B,"not found",0)</f>
        <v>not found</v>
      </c>
    </row>
    <row r="435" spans="1:11" x14ac:dyDescent="0.3">
      <c r="A435" s="1" t="s">
        <v>441</v>
      </c>
      <c r="B435" s="1">
        <v>2</v>
      </c>
      <c r="C435" s="1"/>
      <c r="D435" s="1">
        <v>1</v>
      </c>
      <c r="E435" s="1">
        <v>3</v>
      </c>
      <c r="F435" s="1">
        <v>0</v>
      </c>
      <c r="G435" s="1">
        <v>0</v>
      </c>
      <c r="H435" s="1">
        <v>2</v>
      </c>
      <c r="I435" s="1">
        <f t="shared" si="55"/>
        <v>2</v>
      </c>
      <c r="J435" s="1">
        <f>_xlfn.XLOOKUP(A435,'[1]Point of Sale Analysis'!$A:$A,'[1]Point of Sale Analysis'!$B:$B,"not found",0)</f>
        <v>1</v>
      </c>
      <c r="K435" s="1">
        <f>ABS(J435-I435)</f>
        <v>1</v>
      </c>
    </row>
    <row r="436" spans="1:11" hidden="1" x14ac:dyDescent="0.3">
      <c r="A436" t="s">
        <v>442</v>
      </c>
      <c r="B436">
        <v>3</v>
      </c>
      <c r="C436">
        <v>3</v>
      </c>
      <c r="D436">
        <v>3</v>
      </c>
      <c r="E436">
        <v>1</v>
      </c>
      <c r="F436">
        <v>40</v>
      </c>
      <c r="G436">
        <v>0</v>
      </c>
      <c r="H436">
        <v>3</v>
      </c>
      <c r="I436">
        <f t="shared" si="55"/>
        <v>3</v>
      </c>
      <c r="J436" t="str">
        <f>_xlfn.XLOOKUP(A436,'[1]Point of Sale Analysis'!$A:$A,'[1]Point of Sale Analysis'!$B:$B,"not found",0)</f>
        <v>not found</v>
      </c>
    </row>
    <row r="437" spans="1:11" x14ac:dyDescent="0.3">
      <c r="A437" s="1" t="s">
        <v>443</v>
      </c>
      <c r="B437" s="1">
        <v>5</v>
      </c>
      <c r="C437" s="1">
        <v>1</v>
      </c>
      <c r="D437" s="1"/>
      <c r="E437" s="1">
        <v>4</v>
      </c>
      <c r="F437" s="1">
        <v>0</v>
      </c>
      <c r="G437" s="1">
        <v>1</v>
      </c>
      <c r="H437" s="1">
        <v>3</v>
      </c>
      <c r="I437" s="1">
        <f t="shared" si="55"/>
        <v>4</v>
      </c>
      <c r="J437" s="1">
        <f>_xlfn.XLOOKUP(A437,'[1]Point of Sale Analysis'!$A:$A,'[1]Point of Sale Analysis'!$B:$B,"not found",0)</f>
        <v>2</v>
      </c>
      <c r="K437" s="1">
        <f t="shared" ref="K437:K440" si="62">ABS(J437-I437)</f>
        <v>2</v>
      </c>
    </row>
    <row r="438" spans="1:11" x14ac:dyDescent="0.3">
      <c r="A438" s="1" t="s">
        <v>444</v>
      </c>
      <c r="B438" s="1"/>
      <c r="C438" s="1"/>
      <c r="D438" s="1"/>
      <c r="E438" s="1">
        <v>3</v>
      </c>
      <c r="F438" s="1">
        <v>45</v>
      </c>
      <c r="G438" s="1">
        <v>3</v>
      </c>
      <c r="H438" s="1">
        <v>0</v>
      </c>
      <c r="I438" s="1">
        <f t="shared" si="55"/>
        <v>3</v>
      </c>
      <c r="J438" s="1">
        <f>_xlfn.XLOOKUP(A438,'[1]Point of Sale Analysis'!$A:$A,'[1]Point of Sale Analysis'!$B:$B,"not found",0)</f>
        <v>2</v>
      </c>
      <c r="K438" s="1">
        <f t="shared" si="62"/>
        <v>1</v>
      </c>
    </row>
    <row r="439" spans="1:11" x14ac:dyDescent="0.3">
      <c r="A439" s="1" t="s">
        <v>445</v>
      </c>
      <c r="B439" s="1">
        <v>4</v>
      </c>
      <c r="C439" s="1">
        <v>2</v>
      </c>
      <c r="D439" s="1">
        <v>4</v>
      </c>
      <c r="E439" s="1"/>
      <c r="F439" s="1">
        <v>0</v>
      </c>
      <c r="G439" s="1">
        <v>3</v>
      </c>
      <c r="H439" s="1">
        <v>1</v>
      </c>
      <c r="I439" s="1">
        <f t="shared" si="55"/>
        <v>4</v>
      </c>
      <c r="J439" s="1">
        <f>_xlfn.XLOOKUP(A439,'[1]Point of Sale Analysis'!$A:$A,'[1]Point of Sale Analysis'!$B:$B,"not found",0)</f>
        <v>2</v>
      </c>
      <c r="K439" s="1">
        <f t="shared" si="62"/>
        <v>2</v>
      </c>
    </row>
    <row r="440" spans="1:11" x14ac:dyDescent="0.3">
      <c r="A440" s="1" t="s">
        <v>446</v>
      </c>
      <c r="B440" s="1"/>
      <c r="C440" s="1"/>
      <c r="D440" s="1"/>
      <c r="E440" s="1">
        <v>3</v>
      </c>
      <c r="F440" s="1">
        <v>32</v>
      </c>
      <c r="G440" s="1">
        <v>3</v>
      </c>
      <c r="H440" s="1">
        <v>0</v>
      </c>
      <c r="I440" s="1">
        <f t="shared" si="55"/>
        <v>3</v>
      </c>
      <c r="J440" s="1">
        <f>_xlfn.XLOOKUP(A440,'[1]Point of Sale Analysis'!$A:$A,'[1]Point of Sale Analysis'!$B:$B,"not found",0)</f>
        <v>1</v>
      </c>
      <c r="K440" s="1">
        <f t="shared" si="62"/>
        <v>2</v>
      </c>
    </row>
    <row r="441" spans="1:11" hidden="1" x14ac:dyDescent="0.3">
      <c r="A441" t="s">
        <v>447</v>
      </c>
      <c r="B441">
        <v>3</v>
      </c>
      <c r="C441">
        <v>1</v>
      </c>
      <c r="D441">
        <v>2</v>
      </c>
      <c r="E441">
        <v>1</v>
      </c>
      <c r="F441">
        <v>0</v>
      </c>
      <c r="G441">
        <v>0</v>
      </c>
      <c r="H441">
        <v>1</v>
      </c>
      <c r="I441">
        <f t="shared" si="55"/>
        <v>1</v>
      </c>
      <c r="J441" t="str">
        <f>_xlfn.XLOOKUP(A441,'[1]Point of Sale Analysis'!$A:$A,'[1]Point of Sale Analysis'!$B:$B,"not found",0)</f>
        <v>not found</v>
      </c>
    </row>
    <row r="442" spans="1:11" x14ac:dyDescent="0.3">
      <c r="A442" s="1" t="s">
        <v>448</v>
      </c>
      <c r="B442" s="1"/>
      <c r="C442" s="1"/>
      <c r="D442" s="1"/>
      <c r="E442" s="1">
        <v>1</v>
      </c>
      <c r="F442" s="1">
        <v>0</v>
      </c>
      <c r="G442" s="1">
        <v>0</v>
      </c>
      <c r="H442" s="1">
        <v>1</v>
      </c>
      <c r="I442" s="1">
        <f t="shared" si="55"/>
        <v>1</v>
      </c>
      <c r="J442" s="1">
        <f>_xlfn.XLOOKUP(A442,'[1]Point of Sale Analysis'!$A:$A,'[1]Point of Sale Analysis'!$B:$B,"not found",0)</f>
        <v>1</v>
      </c>
      <c r="K442" s="1">
        <f t="shared" ref="K442:K443" si="63">ABS(J442-I442)</f>
        <v>0</v>
      </c>
    </row>
    <row r="443" spans="1:11" x14ac:dyDescent="0.3">
      <c r="A443" s="1" t="s">
        <v>449</v>
      </c>
      <c r="B443" s="1"/>
      <c r="C443" s="1">
        <v>2</v>
      </c>
      <c r="D443" s="1">
        <v>1</v>
      </c>
      <c r="E443" s="1">
        <v>1</v>
      </c>
      <c r="F443" s="1">
        <v>0</v>
      </c>
      <c r="G443" s="1">
        <v>1</v>
      </c>
      <c r="H443" s="1">
        <v>0</v>
      </c>
      <c r="I443" s="1">
        <f t="shared" si="55"/>
        <v>1</v>
      </c>
      <c r="J443" s="1">
        <f>_xlfn.XLOOKUP(A443,'[1]Point of Sale Analysis'!$A:$A,'[1]Point of Sale Analysis'!$B:$B,"not found",0)</f>
        <v>3</v>
      </c>
      <c r="K443" s="1">
        <f t="shared" si="63"/>
        <v>2</v>
      </c>
    </row>
    <row r="444" spans="1:11" hidden="1" x14ac:dyDescent="0.3">
      <c r="A444" t="s">
        <v>450</v>
      </c>
      <c r="B444">
        <v>1</v>
      </c>
      <c r="C444">
        <v>1</v>
      </c>
      <c r="D444">
        <v>2</v>
      </c>
      <c r="E444">
        <v>2</v>
      </c>
      <c r="F444">
        <v>7</v>
      </c>
      <c r="G444">
        <v>2</v>
      </c>
      <c r="H444">
        <v>0</v>
      </c>
      <c r="I444">
        <f t="shared" si="55"/>
        <v>2</v>
      </c>
      <c r="J444" t="str">
        <f>_xlfn.XLOOKUP(A444,'[1]Point of Sale Analysis'!$A:$A,'[1]Point of Sale Analysis'!$B:$B,"not found",0)</f>
        <v>not found</v>
      </c>
    </row>
    <row r="445" spans="1:11" x14ac:dyDescent="0.3">
      <c r="A445" s="1" t="s">
        <v>451</v>
      </c>
      <c r="B445" s="1">
        <v>1</v>
      </c>
      <c r="C445" s="1"/>
      <c r="D445" s="1">
        <v>2</v>
      </c>
      <c r="E445" s="1">
        <v>1</v>
      </c>
      <c r="F445" s="1">
        <v>4</v>
      </c>
      <c r="G445" s="1">
        <v>3</v>
      </c>
      <c r="H445" s="1">
        <v>0</v>
      </c>
      <c r="I445" s="1">
        <f t="shared" si="55"/>
        <v>3</v>
      </c>
      <c r="J445" s="1">
        <f>_xlfn.XLOOKUP(A445,'[1]Point of Sale Analysis'!$A:$A,'[1]Point of Sale Analysis'!$B:$B,"not found",0)</f>
        <v>1</v>
      </c>
      <c r="K445" s="1">
        <f t="shared" ref="K445:K449" si="64">ABS(J445-I445)</f>
        <v>2</v>
      </c>
    </row>
    <row r="446" spans="1:11" x14ac:dyDescent="0.3">
      <c r="A446" s="1" t="s">
        <v>452</v>
      </c>
      <c r="B446" s="1">
        <v>1</v>
      </c>
      <c r="C446" s="1">
        <v>1</v>
      </c>
      <c r="D446" s="1">
        <v>1</v>
      </c>
      <c r="E446" s="1">
        <v>1</v>
      </c>
      <c r="F446" s="1">
        <v>5</v>
      </c>
      <c r="G446" s="1">
        <v>4</v>
      </c>
      <c r="H446" s="1">
        <v>0</v>
      </c>
      <c r="I446" s="1">
        <f t="shared" si="55"/>
        <v>4</v>
      </c>
      <c r="J446" s="1">
        <f>_xlfn.XLOOKUP(A446,'[1]Point of Sale Analysis'!$A:$A,'[1]Point of Sale Analysis'!$B:$B,"not found",0)</f>
        <v>1</v>
      </c>
      <c r="K446" s="1">
        <f t="shared" si="64"/>
        <v>3</v>
      </c>
    </row>
    <row r="447" spans="1:11" x14ac:dyDescent="0.3">
      <c r="A447" s="1" t="s">
        <v>453</v>
      </c>
      <c r="B447" s="1">
        <v>17</v>
      </c>
      <c r="C447" s="1">
        <v>4</v>
      </c>
      <c r="D447" s="1">
        <v>13</v>
      </c>
      <c r="E447" s="1">
        <v>6</v>
      </c>
      <c r="F447" s="1">
        <v>2</v>
      </c>
      <c r="G447" s="1">
        <v>2</v>
      </c>
      <c r="H447" s="1">
        <v>7</v>
      </c>
      <c r="I447" s="1">
        <f t="shared" si="55"/>
        <v>9</v>
      </c>
      <c r="J447" s="1">
        <f>_xlfn.XLOOKUP(A447,'[1]Point of Sale Analysis'!$A:$A,'[1]Point of Sale Analysis'!$B:$B,"not found",0)</f>
        <v>7</v>
      </c>
      <c r="K447" s="1">
        <f t="shared" si="64"/>
        <v>2</v>
      </c>
    </row>
    <row r="448" spans="1:11" x14ac:dyDescent="0.3">
      <c r="A448" s="1" t="s">
        <v>454</v>
      </c>
      <c r="B448" s="1">
        <v>20</v>
      </c>
      <c r="C448" s="1">
        <v>26</v>
      </c>
      <c r="D448" s="1">
        <v>25</v>
      </c>
      <c r="E448" s="1">
        <v>26</v>
      </c>
      <c r="F448" s="1">
        <v>0</v>
      </c>
      <c r="G448" s="1">
        <v>3</v>
      </c>
      <c r="H448" s="1">
        <v>22</v>
      </c>
      <c r="I448" s="1">
        <f t="shared" si="55"/>
        <v>25</v>
      </c>
      <c r="J448" s="1">
        <f>_xlfn.XLOOKUP(A448,'[1]Point of Sale Analysis'!$A:$A,'[1]Point of Sale Analysis'!$B:$B,"not found",0)</f>
        <v>6</v>
      </c>
      <c r="K448" s="1">
        <f t="shared" si="64"/>
        <v>19</v>
      </c>
    </row>
    <row r="449" spans="1:11" x14ac:dyDescent="0.3">
      <c r="A449" s="1" t="s">
        <v>455</v>
      </c>
      <c r="B449" s="1">
        <v>6</v>
      </c>
      <c r="C449" s="1">
        <v>7</v>
      </c>
      <c r="D449" s="1">
        <v>3</v>
      </c>
      <c r="E449" s="1">
        <v>2</v>
      </c>
      <c r="F449" s="1">
        <v>19</v>
      </c>
      <c r="G449" s="1">
        <v>1</v>
      </c>
      <c r="H449" s="1">
        <v>3</v>
      </c>
      <c r="I449" s="1">
        <f t="shared" si="55"/>
        <v>4</v>
      </c>
      <c r="J449" s="1">
        <f>_xlfn.XLOOKUP(A449,'[1]Point of Sale Analysis'!$A:$A,'[1]Point of Sale Analysis'!$B:$B,"not found",0)</f>
        <v>5</v>
      </c>
      <c r="K449" s="1">
        <f t="shared" si="64"/>
        <v>1</v>
      </c>
    </row>
    <row r="450" spans="1:11" hidden="1" x14ac:dyDescent="0.3">
      <c r="A450" t="s">
        <v>456</v>
      </c>
      <c r="B450">
        <v>7</v>
      </c>
      <c r="C450">
        <v>2</v>
      </c>
      <c r="E450">
        <v>5</v>
      </c>
      <c r="F450">
        <v>42</v>
      </c>
      <c r="G450">
        <v>3</v>
      </c>
      <c r="H450">
        <v>2</v>
      </c>
      <c r="I450">
        <f t="shared" si="55"/>
        <v>5</v>
      </c>
      <c r="J450" t="str">
        <f>_xlfn.XLOOKUP(A450,'[1]Point of Sale Analysis'!$A:$A,'[1]Point of Sale Analysis'!$B:$B,"not found",0)</f>
        <v>not found</v>
      </c>
    </row>
    <row r="451" spans="1:11" x14ac:dyDescent="0.3">
      <c r="A451" s="1" t="s">
        <v>457</v>
      </c>
      <c r="B451" s="1">
        <v>2</v>
      </c>
      <c r="C451" s="1">
        <v>2</v>
      </c>
      <c r="D451" s="1">
        <v>2</v>
      </c>
      <c r="E451" s="1">
        <v>2</v>
      </c>
      <c r="F451" s="1">
        <v>4</v>
      </c>
      <c r="G451" s="1">
        <v>4</v>
      </c>
      <c r="H451" s="1">
        <v>0</v>
      </c>
      <c r="I451" s="1">
        <f t="shared" ref="I451:I514" si="65">G451+H451</f>
        <v>4</v>
      </c>
      <c r="J451" s="1">
        <f>_xlfn.XLOOKUP(A451,'[1]Point of Sale Analysis'!$A:$A,'[1]Point of Sale Analysis'!$B:$B,"not found",0)</f>
        <v>2</v>
      </c>
      <c r="K451" s="1">
        <f t="shared" ref="K451:K454" si="66">ABS(J451-I451)</f>
        <v>2</v>
      </c>
    </row>
    <row r="452" spans="1:11" x14ac:dyDescent="0.3">
      <c r="A452" s="1" t="s">
        <v>458</v>
      </c>
      <c r="B452" s="1">
        <v>1</v>
      </c>
      <c r="C452" s="1">
        <v>2</v>
      </c>
      <c r="D452" s="1">
        <v>2</v>
      </c>
      <c r="E452" s="1">
        <v>1</v>
      </c>
      <c r="F452" s="1">
        <v>7</v>
      </c>
      <c r="G452" s="1">
        <v>0</v>
      </c>
      <c r="H452" s="1">
        <v>1</v>
      </c>
      <c r="I452" s="1">
        <f t="shared" si="65"/>
        <v>1</v>
      </c>
      <c r="J452" s="1">
        <f>_xlfn.XLOOKUP(A452,'[1]Point of Sale Analysis'!$A:$A,'[1]Point of Sale Analysis'!$B:$B,"not found",0)</f>
        <v>2</v>
      </c>
      <c r="K452" s="1">
        <f t="shared" si="66"/>
        <v>1</v>
      </c>
    </row>
    <row r="453" spans="1:11" x14ac:dyDescent="0.3">
      <c r="A453" s="1" t="s">
        <v>459</v>
      </c>
      <c r="B453" s="1">
        <v>1</v>
      </c>
      <c r="C453" s="1">
        <v>3</v>
      </c>
      <c r="D453" s="1">
        <v>1</v>
      </c>
      <c r="E453" s="1"/>
      <c r="F453" s="1">
        <v>0</v>
      </c>
      <c r="G453" s="1">
        <v>3</v>
      </c>
      <c r="H453" s="1">
        <v>0</v>
      </c>
      <c r="I453" s="1">
        <f t="shared" si="65"/>
        <v>3</v>
      </c>
      <c r="J453" s="1">
        <f>_xlfn.XLOOKUP(A453,'[1]Point of Sale Analysis'!$A:$A,'[1]Point of Sale Analysis'!$B:$B,"not found",0)</f>
        <v>1</v>
      </c>
      <c r="K453" s="1">
        <f t="shared" si="66"/>
        <v>2</v>
      </c>
    </row>
    <row r="454" spans="1:11" x14ac:dyDescent="0.3">
      <c r="A454" s="1" t="s">
        <v>460</v>
      </c>
      <c r="B454" s="1">
        <v>8</v>
      </c>
      <c r="C454" s="1">
        <v>4</v>
      </c>
      <c r="D454" s="1"/>
      <c r="E454" s="1">
        <v>1</v>
      </c>
      <c r="F454" s="1">
        <v>27</v>
      </c>
      <c r="G454" s="1">
        <v>1</v>
      </c>
      <c r="H454" s="1">
        <v>3</v>
      </c>
      <c r="I454" s="1">
        <f t="shared" si="65"/>
        <v>4</v>
      </c>
      <c r="J454" s="1">
        <f>_xlfn.XLOOKUP(A454,'[1]Point of Sale Analysis'!$A:$A,'[1]Point of Sale Analysis'!$B:$B,"not found",0)</f>
        <v>2</v>
      </c>
      <c r="K454" s="1">
        <f t="shared" si="66"/>
        <v>2</v>
      </c>
    </row>
    <row r="455" spans="1:11" hidden="1" x14ac:dyDescent="0.3">
      <c r="A455" t="s">
        <v>461</v>
      </c>
      <c r="B455">
        <v>4</v>
      </c>
      <c r="D455">
        <v>4</v>
      </c>
      <c r="F455">
        <v>0</v>
      </c>
      <c r="G455">
        <v>0</v>
      </c>
      <c r="H455">
        <v>4</v>
      </c>
      <c r="I455">
        <f t="shared" si="65"/>
        <v>4</v>
      </c>
      <c r="J455" t="str">
        <f>_xlfn.XLOOKUP(A455,'[1]Point of Sale Analysis'!$A:$A,'[1]Point of Sale Analysis'!$B:$B,"not found",0)</f>
        <v>not found</v>
      </c>
    </row>
    <row r="456" spans="1:11" x14ac:dyDescent="0.3">
      <c r="A456" s="1" t="s">
        <v>462</v>
      </c>
      <c r="B456" s="1">
        <v>8</v>
      </c>
      <c r="C456" s="1">
        <v>7</v>
      </c>
      <c r="D456" s="1">
        <v>1</v>
      </c>
      <c r="E456" s="1">
        <v>4</v>
      </c>
      <c r="F456" s="1">
        <v>1</v>
      </c>
      <c r="G456" s="1">
        <v>-4</v>
      </c>
      <c r="H456" s="1">
        <v>9</v>
      </c>
      <c r="I456" s="1">
        <f t="shared" si="65"/>
        <v>5</v>
      </c>
      <c r="J456" s="1">
        <f>_xlfn.XLOOKUP(A456,'[1]Point of Sale Analysis'!$A:$A,'[1]Point of Sale Analysis'!$B:$B,"not found",0)</f>
        <v>1</v>
      </c>
      <c r="K456" s="1">
        <f t="shared" ref="K456:K458" si="67">ABS(J456-I456)</f>
        <v>4</v>
      </c>
    </row>
    <row r="457" spans="1:11" x14ac:dyDescent="0.3">
      <c r="A457" s="1" t="s">
        <v>463</v>
      </c>
      <c r="B457" s="1">
        <v>1</v>
      </c>
      <c r="C457" s="1">
        <v>2</v>
      </c>
      <c r="D457" s="1">
        <v>3</v>
      </c>
      <c r="E457" s="1">
        <v>3</v>
      </c>
      <c r="F457" s="1">
        <v>2</v>
      </c>
      <c r="G457" s="1">
        <v>3</v>
      </c>
      <c r="H457" s="1">
        <v>0</v>
      </c>
      <c r="I457" s="1">
        <f t="shared" si="65"/>
        <v>3</v>
      </c>
      <c r="J457" s="1">
        <f>_xlfn.XLOOKUP(A457,'[1]Point of Sale Analysis'!$A:$A,'[1]Point of Sale Analysis'!$B:$B,"not found",0)</f>
        <v>1</v>
      </c>
      <c r="K457" s="1">
        <f t="shared" si="67"/>
        <v>2</v>
      </c>
    </row>
    <row r="458" spans="1:11" x14ac:dyDescent="0.3">
      <c r="A458" s="1" t="s">
        <v>464</v>
      </c>
      <c r="B458" s="1">
        <v>3</v>
      </c>
      <c r="C458" s="1"/>
      <c r="D458" s="1">
        <v>1</v>
      </c>
      <c r="E458" s="1">
        <v>1</v>
      </c>
      <c r="F458" s="1">
        <v>15</v>
      </c>
      <c r="G458" s="1">
        <v>2</v>
      </c>
      <c r="H458" s="1">
        <v>0</v>
      </c>
      <c r="I458" s="1">
        <f t="shared" si="65"/>
        <v>2</v>
      </c>
      <c r="J458" s="1">
        <f>_xlfn.XLOOKUP(A458,'[1]Point of Sale Analysis'!$A:$A,'[1]Point of Sale Analysis'!$B:$B,"not found",0)</f>
        <v>1</v>
      </c>
      <c r="K458" s="1">
        <f t="shared" si="67"/>
        <v>1</v>
      </c>
    </row>
    <row r="459" spans="1:11" hidden="1" x14ac:dyDescent="0.3">
      <c r="A459" t="s">
        <v>465</v>
      </c>
      <c r="B459">
        <v>2</v>
      </c>
      <c r="D459">
        <v>1</v>
      </c>
      <c r="F459">
        <v>0</v>
      </c>
      <c r="G459">
        <v>1</v>
      </c>
      <c r="H459">
        <v>0</v>
      </c>
      <c r="I459">
        <f t="shared" si="65"/>
        <v>1</v>
      </c>
      <c r="J459" t="str">
        <f>_xlfn.XLOOKUP(A459,'[1]Point of Sale Analysis'!$A:$A,'[1]Point of Sale Analysis'!$B:$B,"not found",0)</f>
        <v>not found</v>
      </c>
    </row>
    <row r="460" spans="1:11" hidden="1" x14ac:dyDescent="0.3">
      <c r="A460" t="s">
        <v>466</v>
      </c>
      <c r="B460">
        <v>1</v>
      </c>
      <c r="D460">
        <v>1</v>
      </c>
      <c r="F460">
        <v>6</v>
      </c>
      <c r="G460">
        <v>0</v>
      </c>
      <c r="H460">
        <v>1</v>
      </c>
      <c r="I460">
        <f t="shared" si="65"/>
        <v>1</v>
      </c>
      <c r="J460" t="str">
        <f>_xlfn.XLOOKUP(A460,'[1]Point of Sale Analysis'!$A:$A,'[1]Point of Sale Analysis'!$B:$B,"not found",0)</f>
        <v>not found</v>
      </c>
    </row>
    <row r="461" spans="1:11" hidden="1" x14ac:dyDescent="0.3">
      <c r="A461" t="s">
        <v>467</v>
      </c>
      <c r="B461">
        <v>9</v>
      </c>
      <c r="C461">
        <v>7</v>
      </c>
      <c r="D461">
        <v>5</v>
      </c>
      <c r="E461">
        <v>3</v>
      </c>
      <c r="F461">
        <v>29</v>
      </c>
      <c r="G461">
        <v>4</v>
      </c>
      <c r="H461">
        <v>2</v>
      </c>
      <c r="I461">
        <f t="shared" si="65"/>
        <v>6</v>
      </c>
      <c r="J461" t="str">
        <f>_xlfn.XLOOKUP(A461,'[1]Point of Sale Analysis'!$A:$A,'[1]Point of Sale Analysis'!$B:$B,"not found",0)</f>
        <v>not found</v>
      </c>
    </row>
    <row r="462" spans="1:11" hidden="1" x14ac:dyDescent="0.3">
      <c r="A462" t="s">
        <v>468</v>
      </c>
      <c r="B462">
        <v>9</v>
      </c>
      <c r="C462">
        <v>2</v>
      </c>
      <c r="D462">
        <v>1</v>
      </c>
      <c r="F462">
        <v>30</v>
      </c>
      <c r="G462">
        <v>3</v>
      </c>
      <c r="H462">
        <v>0</v>
      </c>
      <c r="I462">
        <f t="shared" si="65"/>
        <v>3</v>
      </c>
      <c r="J462" t="str">
        <f>_xlfn.XLOOKUP(A462,'[1]Point of Sale Analysis'!$A:$A,'[1]Point of Sale Analysis'!$B:$B,"not found",0)</f>
        <v>not found</v>
      </c>
    </row>
    <row r="463" spans="1:11" hidden="1" x14ac:dyDescent="0.3">
      <c r="A463" t="s">
        <v>469</v>
      </c>
      <c r="B463">
        <v>4</v>
      </c>
      <c r="C463">
        <v>5</v>
      </c>
      <c r="D463">
        <v>1</v>
      </c>
      <c r="E463">
        <v>2</v>
      </c>
      <c r="F463">
        <v>10</v>
      </c>
      <c r="G463">
        <v>3</v>
      </c>
      <c r="H463">
        <v>0</v>
      </c>
      <c r="I463">
        <f t="shared" si="65"/>
        <v>3</v>
      </c>
      <c r="J463" t="str">
        <f>_xlfn.XLOOKUP(A463,'[1]Point of Sale Analysis'!$A:$A,'[1]Point of Sale Analysis'!$B:$B,"not found",0)</f>
        <v>not found</v>
      </c>
    </row>
    <row r="464" spans="1:11" hidden="1" x14ac:dyDescent="0.3">
      <c r="A464" t="s">
        <v>470</v>
      </c>
      <c r="E464">
        <v>1</v>
      </c>
      <c r="F464">
        <v>11</v>
      </c>
      <c r="G464">
        <v>1</v>
      </c>
      <c r="H464">
        <v>0</v>
      </c>
      <c r="I464">
        <f t="shared" si="65"/>
        <v>1</v>
      </c>
      <c r="J464" t="str">
        <f>_xlfn.XLOOKUP(A464,'[1]Point of Sale Analysis'!$A:$A,'[1]Point of Sale Analysis'!$B:$B,"not found",0)</f>
        <v>not found</v>
      </c>
    </row>
    <row r="465" spans="1:11" hidden="1" x14ac:dyDescent="0.3">
      <c r="A465" t="s">
        <v>471</v>
      </c>
      <c r="B465">
        <v>1</v>
      </c>
      <c r="E465">
        <v>2</v>
      </c>
      <c r="F465">
        <v>10</v>
      </c>
      <c r="G465">
        <v>2</v>
      </c>
      <c r="H465">
        <v>0</v>
      </c>
      <c r="I465">
        <f t="shared" si="65"/>
        <v>2</v>
      </c>
      <c r="J465" t="str">
        <f>_xlfn.XLOOKUP(A465,'[1]Point of Sale Analysis'!$A:$A,'[1]Point of Sale Analysis'!$B:$B,"not found",0)</f>
        <v>not found</v>
      </c>
    </row>
    <row r="466" spans="1:11" x14ac:dyDescent="0.3">
      <c r="A466" s="1" t="s">
        <v>472</v>
      </c>
      <c r="B466" s="1"/>
      <c r="C466" s="1"/>
      <c r="D466" s="1"/>
      <c r="E466" s="1">
        <v>1</v>
      </c>
      <c r="F466" s="1">
        <v>23</v>
      </c>
      <c r="G466" s="1">
        <v>2</v>
      </c>
      <c r="H466" s="1">
        <v>0</v>
      </c>
      <c r="I466" s="1">
        <f t="shared" si="65"/>
        <v>2</v>
      </c>
      <c r="J466" s="1">
        <f>_xlfn.XLOOKUP(A466,'[1]Point of Sale Analysis'!$A:$A,'[1]Point of Sale Analysis'!$B:$B,"not found",0)</f>
        <v>1</v>
      </c>
      <c r="K466" s="1">
        <f t="shared" ref="K466:K468" si="68">ABS(J466-I466)</f>
        <v>1</v>
      </c>
    </row>
    <row r="467" spans="1:11" x14ac:dyDescent="0.3">
      <c r="A467" s="1" t="s">
        <v>473</v>
      </c>
      <c r="B467" s="1">
        <v>19</v>
      </c>
      <c r="C467" s="1">
        <v>9</v>
      </c>
      <c r="D467" s="1">
        <v>9</v>
      </c>
      <c r="E467" s="1">
        <v>15</v>
      </c>
      <c r="F467" s="1">
        <v>0</v>
      </c>
      <c r="G467" s="1">
        <v>7</v>
      </c>
      <c r="H467" s="1">
        <v>5</v>
      </c>
      <c r="I467" s="1">
        <f t="shared" si="65"/>
        <v>12</v>
      </c>
      <c r="J467" s="1">
        <f>_xlfn.XLOOKUP(A467,'[1]Point of Sale Analysis'!$A:$A,'[1]Point of Sale Analysis'!$B:$B,"not found",0)</f>
        <v>5</v>
      </c>
      <c r="K467" s="1">
        <f t="shared" si="68"/>
        <v>7</v>
      </c>
    </row>
    <row r="468" spans="1:11" x14ac:dyDescent="0.3">
      <c r="A468" s="1" t="s">
        <v>474</v>
      </c>
      <c r="B468" s="1">
        <v>10</v>
      </c>
      <c r="C468" s="1">
        <v>11</v>
      </c>
      <c r="D468" s="1">
        <v>15</v>
      </c>
      <c r="E468" s="1">
        <v>1</v>
      </c>
      <c r="F468" s="1">
        <v>0</v>
      </c>
      <c r="G468" s="1">
        <v>-1</v>
      </c>
      <c r="H468" s="1">
        <v>11</v>
      </c>
      <c r="I468" s="1">
        <f t="shared" si="65"/>
        <v>10</v>
      </c>
      <c r="J468" s="1">
        <f>_xlfn.XLOOKUP(A468,'[1]Point of Sale Analysis'!$A:$A,'[1]Point of Sale Analysis'!$B:$B,"not found",0)</f>
        <v>10</v>
      </c>
      <c r="K468" s="1">
        <f t="shared" si="68"/>
        <v>0</v>
      </c>
    </row>
    <row r="469" spans="1:11" hidden="1" x14ac:dyDescent="0.3">
      <c r="A469" t="s">
        <v>475</v>
      </c>
      <c r="B469">
        <v>1</v>
      </c>
      <c r="C469">
        <v>2</v>
      </c>
      <c r="D469">
        <v>1</v>
      </c>
      <c r="E469">
        <v>1</v>
      </c>
      <c r="F469">
        <v>0</v>
      </c>
      <c r="G469">
        <v>1</v>
      </c>
      <c r="H469">
        <v>0</v>
      </c>
      <c r="I469">
        <f t="shared" si="65"/>
        <v>1</v>
      </c>
      <c r="J469" t="str">
        <f>_xlfn.XLOOKUP(A469,'[1]Point of Sale Analysis'!$A:$A,'[1]Point of Sale Analysis'!$B:$B,"not found",0)</f>
        <v>not found</v>
      </c>
    </row>
    <row r="470" spans="1:11" x14ac:dyDescent="0.3">
      <c r="A470" s="1" t="s">
        <v>476</v>
      </c>
      <c r="B470" s="1"/>
      <c r="C470" s="1">
        <v>1</v>
      </c>
      <c r="D470" s="1"/>
      <c r="E470" s="1"/>
      <c r="F470" s="1">
        <v>18</v>
      </c>
      <c r="G470" s="1">
        <v>1</v>
      </c>
      <c r="H470" s="1">
        <v>0</v>
      </c>
      <c r="I470" s="1">
        <f t="shared" si="65"/>
        <v>1</v>
      </c>
      <c r="J470" s="1">
        <f>_xlfn.XLOOKUP(A470,'[1]Point of Sale Analysis'!$A:$A,'[1]Point of Sale Analysis'!$B:$B,"not found",0)</f>
        <v>2</v>
      </c>
      <c r="K470" s="1">
        <f>ABS(J470-I470)</f>
        <v>1</v>
      </c>
    </row>
    <row r="471" spans="1:11" hidden="1" x14ac:dyDescent="0.3">
      <c r="A471" t="s">
        <v>477</v>
      </c>
      <c r="B471">
        <v>5</v>
      </c>
      <c r="C471">
        <v>1</v>
      </c>
      <c r="D471">
        <v>1</v>
      </c>
      <c r="E471">
        <v>2</v>
      </c>
      <c r="F471">
        <v>15</v>
      </c>
      <c r="G471">
        <v>2</v>
      </c>
      <c r="H471">
        <v>0</v>
      </c>
      <c r="I471">
        <f t="shared" si="65"/>
        <v>2</v>
      </c>
      <c r="J471" t="str">
        <f>_xlfn.XLOOKUP(A471,'[1]Point of Sale Analysis'!$A:$A,'[1]Point of Sale Analysis'!$B:$B,"not found",0)</f>
        <v>not found</v>
      </c>
    </row>
    <row r="472" spans="1:11" hidden="1" x14ac:dyDescent="0.3">
      <c r="A472" t="s">
        <v>478</v>
      </c>
      <c r="B472">
        <v>1</v>
      </c>
      <c r="C472">
        <v>1</v>
      </c>
      <c r="D472">
        <v>1</v>
      </c>
      <c r="F472">
        <v>0</v>
      </c>
      <c r="G472">
        <v>1</v>
      </c>
      <c r="H472">
        <v>0</v>
      </c>
      <c r="I472">
        <f t="shared" si="65"/>
        <v>1</v>
      </c>
      <c r="J472" t="str">
        <f>_xlfn.XLOOKUP(A472,'[1]Point of Sale Analysis'!$A:$A,'[1]Point of Sale Analysis'!$B:$B,"not found",0)</f>
        <v>not found</v>
      </c>
    </row>
    <row r="473" spans="1:11" hidden="1" x14ac:dyDescent="0.3">
      <c r="A473" t="s">
        <v>479</v>
      </c>
      <c r="B473">
        <v>1</v>
      </c>
      <c r="F473">
        <v>0</v>
      </c>
      <c r="G473">
        <v>1</v>
      </c>
      <c r="H473">
        <v>0</v>
      </c>
      <c r="I473">
        <f t="shared" si="65"/>
        <v>1</v>
      </c>
      <c r="J473" t="str">
        <f>_xlfn.XLOOKUP(A473,'[1]Point of Sale Analysis'!$A:$A,'[1]Point of Sale Analysis'!$B:$B,"not found",0)</f>
        <v>not found</v>
      </c>
    </row>
    <row r="474" spans="1:11" x14ac:dyDescent="0.3">
      <c r="A474" s="1" t="s">
        <v>480</v>
      </c>
      <c r="B474" s="1">
        <v>1</v>
      </c>
      <c r="C474" s="1">
        <v>1</v>
      </c>
      <c r="D474" s="1">
        <v>2</v>
      </c>
      <c r="E474" s="1"/>
      <c r="F474" s="1">
        <v>0</v>
      </c>
      <c r="G474" s="1">
        <v>2</v>
      </c>
      <c r="H474" s="1">
        <v>0</v>
      </c>
      <c r="I474" s="1">
        <f t="shared" si="65"/>
        <v>2</v>
      </c>
      <c r="J474" s="1">
        <f>_xlfn.XLOOKUP(A474,'[1]Point of Sale Analysis'!$A:$A,'[1]Point of Sale Analysis'!$B:$B,"not found",0)</f>
        <v>2</v>
      </c>
      <c r="K474" s="1">
        <f t="shared" ref="K474:K475" si="69">ABS(J474-I474)</f>
        <v>0</v>
      </c>
    </row>
    <row r="475" spans="1:11" x14ac:dyDescent="0.3">
      <c r="A475" s="1" t="s">
        <v>481</v>
      </c>
      <c r="B475" s="1">
        <v>10</v>
      </c>
      <c r="C475" s="1">
        <v>7</v>
      </c>
      <c r="D475" s="1"/>
      <c r="E475" s="1"/>
      <c r="F475" s="1">
        <v>99</v>
      </c>
      <c r="G475" s="1">
        <v>1</v>
      </c>
      <c r="H475" s="1">
        <v>7</v>
      </c>
      <c r="I475" s="1">
        <f t="shared" si="65"/>
        <v>8</v>
      </c>
      <c r="J475" s="1">
        <f>_xlfn.XLOOKUP(A475,'[1]Point of Sale Analysis'!$A:$A,'[1]Point of Sale Analysis'!$B:$B,"not found",0)</f>
        <v>5</v>
      </c>
      <c r="K475" s="1">
        <f t="shared" si="69"/>
        <v>3</v>
      </c>
    </row>
    <row r="476" spans="1:11" hidden="1" x14ac:dyDescent="0.3">
      <c r="A476" t="s">
        <v>482</v>
      </c>
      <c r="B476">
        <v>4</v>
      </c>
      <c r="D476">
        <v>3</v>
      </c>
      <c r="F476">
        <v>0</v>
      </c>
      <c r="G476">
        <v>0</v>
      </c>
      <c r="H476">
        <v>3</v>
      </c>
      <c r="I476">
        <f t="shared" si="65"/>
        <v>3</v>
      </c>
      <c r="J476" t="str">
        <f>_xlfn.XLOOKUP(A476,'[1]Point of Sale Analysis'!$A:$A,'[1]Point of Sale Analysis'!$B:$B,"not found",0)</f>
        <v>not found</v>
      </c>
    </row>
    <row r="477" spans="1:11" x14ac:dyDescent="0.3">
      <c r="A477" s="1" t="s">
        <v>483</v>
      </c>
      <c r="B477" s="1"/>
      <c r="C477" s="1"/>
      <c r="D477" s="1"/>
      <c r="E477" s="1">
        <v>2</v>
      </c>
      <c r="F477" s="1">
        <v>0</v>
      </c>
      <c r="G477" s="1">
        <v>0</v>
      </c>
      <c r="H477" s="1">
        <v>2</v>
      </c>
      <c r="I477" s="1">
        <f t="shared" si="65"/>
        <v>2</v>
      </c>
      <c r="J477" s="1">
        <f>_xlfn.XLOOKUP(A477,'[1]Point of Sale Analysis'!$A:$A,'[1]Point of Sale Analysis'!$B:$B,"not found",0)</f>
        <v>10</v>
      </c>
      <c r="K477" s="1">
        <f t="shared" ref="K477:K478" si="70">ABS(J477-I477)</f>
        <v>8</v>
      </c>
    </row>
    <row r="478" spans="1:11" x14ac:dyDescent="0.3">
      <c r="A478" s="1" t="s">
        <v>484</v>
      </c>
      <c r="B478" s="1">
        <v>4</v>
      </c>
      <c r="C478" s="1">
        <v>4</v>
      </c>
      <c r="D478" s="1">
        <v>2</v>
      </c>
      <c r="E478" s="1">
        <v>6</v>
      </c>
      <c r="F478" s="1">
        <v>13</v>
      </c>
      <c r="G478" s="1">
        <v>7</v>
      </c>
      <c r="H478" s="1">
        <v>0</v>
      </c>
      <c r="I478" s="1">
        <f t="shared" si="65"/>
        <v>7</v>
      </c>
      <c r="J478" s="1">
        <f>_xlfn.XLOOKUP(A478,'[1]Point of Sale Analysis'!$A:$A,'[1]Point of Sale Analysis'!$B:$B,"not found",0)</f>
        <v>1</v>
      </c>
      <c r="K478" s="1">
        <f t="shared" si="70"/>
        <v>6</v>
      </c>
    </row>
    <row r="479" spans="1:11" hidden="1" x14ac:dyDescent="0.3">
      <c r="A479" t="s">
        <v>485</v>
      </c>
      <c r="C479">
        <v>1</v>
      </c>
      <c r="D479">
        <v>2</v>
      </c>
      <c r="F479">
        <v>21</v>
      </c>
      <c r="G479">
        <v>3</v>
      </c>
      <c r="H479">
        <v>0</v>
      </c>
      <c r="I479">
        <f t="shared" si="65"/>
        <v>3</v>
      </c>
      <c r="J479" t="str">
        <f>_xlfn.XLOOKUP(A479,'[1]Point of Sale Analysis'!$A:$A,'[1]Point of Sale Analysis'!$B:$B,"not found",0)</f>
        <v>not found</v>
      </c>
    </row>
    <row r="480" spans="1:11" hidden="1" x14ac:dyDescent="0.3">
      <c r="A480" t="s">
        <v>486</v>
      </c>
      <c r="B480">
        <v>6</v>
      </c>
      <c r="C480">
        <v>1</v>
      </c>
      <c r="D480">
        <v>1</v>
      </c>
      <c r="E480">
        <v>4</v>
      </c>
      <c r="F480">
        <v>0</v>
      </c>
      <c r="G480">
        <v>2</v>
      </c>
      <c r="H480">
        <v>0</v>
      </c>
      <c r="I480">
        <f t="shared" si="65"/>
        <v>2</v>
      </c>
      <c r="J480" t="str">
        <f>_xlfn.XLOOKUP(A480,'[1]Point of Sale Analysis'!$A:$A,'[1]Point of Sale Analysis'!$B:$B,"not found",0)</f>
        <v>not found</v>
      </c>
    </row>
    <row r="481" spans="1:11" hidden="1" x14ac:dyDescent="0.3">
      <c r="A481" t="s">
        <v>487</v>
      </c>
      <c r="B481">
        <v>6</v>
      </c>
      <c r="C481">
        <v>1</v>
      </c>
      <c r="D481">
        <v>5</v>
      </c>
      <c r="E481">
        <v>4</v>
      </c>
      <c r="F481">
        <v>0</v>
      </c>
      <c r="G481">
        <v>3</v>
      </c>
      <c r="H481">
        <v>1</v>
      </c>
      <c r="I481">
        <f t="shared" si="65"/>
        <v>4</v>
      </c>
      <c r="J481" t="str">
        <f>_xlfn.XLOOKUP(A481,'[1]Point of Sale Analysis'!$A:$A,'[1]Point of Sale Analysis'!$B:$B,"not found",0)</f>
        <v>not found</v>
      </c>
    </row>
    <row r="482" spans="1:11" hidden="1" x14ac:dyDescent="0.3">
      <c r="A482" t="s">
        <v>488</v>
      </c>
      <c r="B482">
        <v>4</v>
      </c>
      <c r="D482">
        <v>1</v>
      </c>
      <c r="E482">
        <v>1</v>
      </c>
      <c r="F482">
        <v>0</v>
      </c>
      <c r="G482">
        <v>2</v>
      </c>
      <c r="H482">
        <v>0</v>
      </c>
      <c r="I482">
        <f t="shared" si="65"/>
        <v>2</v>
      </c>
      <c r="J482" t="str">
        <f>_xlfn.XLOOKUP(A482,'[1]Point of Sale Analysis'!$A:$A,'[1]Point of Sale Analysis'!$B:$B,"not found",0)</f>
        <v>not found</v>
      </c>
    </row>
    <row r="483" spans="1:11" hidden="1" x14ac:dyDescent="0.3">
      <c r="A483" t="s">
        <v>489</v>
      </c>
      <c r="B483">
        <v>8</v>
      </c>
      <c r="C483">
        <v>5</v>
      </c>
      <c r="D483">
        <v>2</v>
      </c>
      <c r="F483">
        <v>0</v>
      </c>
      <c r="G483">
        <v>1</v>
      </c>
      <c r="H483">
        <v>4</v>
      </c>
      <c r="I483">
        <f t="shared" si="65"/>
        <v>5</v>
      </c>
      <c r="J483" t="str">
        <f>_xlfn.XLOOKUP(A483,'[1]Point of Sale Analysis'!$A:$A,'[1]Point of Sale Analysis'!$B:$B,"not found",0)</f>
        <v>not found</v>
      </c>
    </row>
    <row r="484" spans="1:11" hidden="1" x14ac:dyDescent="0.3">
      <c r="A484" t="s">
        <v>490</v>
      </c>
      <c r="E484">
        <v>3</v>
      </c>
      <c r="F484">
        <v>0</v>
      </c>
      <c r="G484">
        <v>1</v>
      </c>
      <c r="H484">
        <v>2</v>
      </c>
      <c r="I484">
        <f t="shared" si="65"/>
        <v>3</v>
      </c>
      <c r="J484" t="str">
        <f>_xlfn.XLOOKUP(A484,'[1]Point of Sale Analysis'!$A:$A,'[1]Point of Sale Analysis'!$B:$B,"not found",0)</f>
        <v>not found</v>
      </c>
    </row>
    <row r="485" spans="1:11" x14ac:dyDescent="0.3">
      <c r="A485" s="1" t="s">
        <v>491</v>
      </c>
      <c r="B485" s="1">
        <v>1</v>
      </c>
      <c r="C485" s="1"/>
      <c r="D485" s="1"/>
      <c r="E485" s="1">
        <v>1</v>
      </c>
      <c r="F485" s="1">
        <v>4</v>
      </c>
      <c r="G485" s="1">
        <v>3</v>
      </c>
      <c r="H485" s="1">
        <v>0</v>
      </c>
      <c r="I485" s="1">
        <f t="shared" si="65"/>
        <v>3</v>
      </c>
      <c r="J485" s="1">
        <f>_xlfn.XLOOKUP(A485,'[1]Point of Sale Analysis'!$A:$A,'[1]Point of Sale Analysis'!$B:$B,"not found",0)</f>
        <v>1</v>
      </c>
      <c r="K485" s="1">
        <f t="shared" ref="K485:K487" si="71">ABS(J485-I485)</f>
        <v>2</v>
      </c>
    </row>
    <row r="486" spans="1:11" x14ac:dyDescent="0.3">
      <c r="A486" s="1" t="s">
        <v>492</v>
      </c>
      <c r="B486" s="1">
        <v>1</v>
      </c>
      <c r="C486" s="1">
        <v>6</v>
      </c>
      <c r="D486" s="1">
        <v>4</v>
      </c>
      <c r="E486" s="1">
        <v>6</v>
      </c>
      <c r="F486" s="1">
        <v>9</v>
      </c>
      <c r="G486" s="1">
        <v>5</v>
      </c>
      <c r="H486" s="1">
        <v>0</v>
      </c>
      <c r="I486" s="1">
        <f t="shared" si="65"/>
        <v>5</v>
      </c>
      <c r="J486" s="1">
        <f>_xlfn.XLOOKUP(A486,'[1]Point of Sale Analysis'!$A:$A,'[1]Point of Sale Analysis'!$B:$B,"not found",0)</f>
        <v>2</v>
      </c>
      <c r="K486" s="1">
        <f t="shared" si="71"/>
        <v>3</v>
      </c>
    </row>
    <row r="487" spans="1:11" x14ac:dyDescent="0.3">
      <c r="A487" s="1" t="s">
        <v>493</v>
      </c>
      <c r="B487" s="1">
        <v>8</v>
      </c>
      <c r="C487" s="1">
        <v>9</v>
      </c>
      <c r="D487" s="1">
        <v>8</v>
      </c>
      <c r="E487" s="1">
        <v>9</v>
      </c>
      <c r="F487" s="1">
        <v>2</v>
      </c>
      <c r="G487" s="1">
        <v>5</v>
      </c>
      <c r="H487" s="1">
        <v>3</v>
      </c>
      <c r="I487" s="1">
        <f t="shared" si="65"/>
        <v>8</v>
      </c>
      <c r="J487" s="1">
        <f>_xlfn.XLOOKUP(A487,'[1]Point of Sale Analysis'!$A:$A,'[1]Point of Sale Analysis'!$B:$B,"not found",0)</f>
        <v>6</v>
      </c>
      <c r="K487" s="1">
        <f t="shared" si="71"/>
        <v>2</v>
      </c>
    </row>
    <row r="488" spans="1:11" hidden="1" x14ac:dyDescent="0.3">
      <c r="A488" t="s">
        <v>494</v>
      </c>
      <c r="B488">
        <v>3</v>
      </c>
      <c r="F488">
        <v>0</v>
      </c>
      <c r="G488">
        <v>1</v>
      </c>
      <c r="H488">
        <v>2</v>
      </c>
      <c r="I488">
        <f t="shared" si="65"/>
        <v>3</v>
      </c>
      <c r="J488" t="str">
        <f>_xlfn.XLOOKUP(A488,'[1]Point of Sale Analysis'!$A:$A,'[1]Point of Sale Analysis'!$B:$B,"not found",0)</f>
        <v>not found</v>
      </c>
    </row>
    <row r="489" spans="1:11" hidden="1" x14ac:dyDescent="0.3">
      <c r="A489" t="s">
        <v>495</v>
      </c>
      <c r="B489">
        <v>7</v>
      </c>
      <c r="C489">
        <v>8</v>
      </c>
      <c r="D489">
        <v>12</v>
      </c>
      <c r="F489">
        <v>0</v>
      </c>
      <c r="G489">
        <v>0</v>
      </c>
      <c r="H489">
        <v>8</v>
      </c>
      <c r="I489">
        <f t="shared" si="65"/>
        <v>8</v>
      </c>
      <c r="J489" t="str">
        <f>_xlfn.XLOOKUP(A489,'[1]Point of Sale Analysis'!$A:$A,'[1]Point of Sale Analysis'!$B:$B,"not found",0)</f>
        <v>not found</v>
      </c>
    </row>
    <row r="490" spans="1:11" hidden="1" x14ac:dyDescent="0.3">
      <c r="A490" t="s">
        <v>496</v>
      </c>
      <c r="B490">
        <v>3</v>
      </c>
      <c r="C490">
        <v>5</v>
      </c>
      <c r="F490">
        <v>0</v>
      </c>
      <c r="G490">
        <v>0</v>
      </c>
      <c r="H490">
        <v>4</v>
      </c>
      <c r="I490">
        <f t="shared" si="65"/>
        <v>4</v>
      </c>
      <c r="J490" t="str">
        <f>_xlfn.XLOOKUP(A490,'[1]Point of Sale Analysis'!$A:$A,'[1]Point of Sale Analysis'!$B:$B,"not found",0)</f>
        <v>not found</v>
      </c>
    </row>
    <row r="491" spans="1:11" x14ac:dyDescent="0.3">
      <c r="A491" s="1" t="s">
        <v>497</v>
      </c>
      <c r="B491" s="1">
        <v>8</v>
      </c>
      <c r="C491" s="1">
        <v>6</v>
      </c>
      <c r="D491" s="1">
        <v>3</v>
      </c>
      <c r="E491" s="1">
        <v>5</v>
      </c>
      <c r="F491" s="1">
        <v>2</v>
      </c>
      <c r="G491" s="1">
        <v>4</v>
      </c>
      <c r="H491" s="1">
        <v>1</v>
      </c>
      <c r="I491" s="1">
        <f t="shared" si="65"/>
        <v>5</v>
      </c>
      <c r="J491" s="1">
        <f>_xlfn.XLOOKUP(A491,'[1]Point of Sale Analysis'!$A:$A,'[1]Point of Sale Analysis'!$B:$B,"not found",0)</f>
        <v>3</v>
      </c>
      <c r="K491" s="1">
        <f t="shared" ref="K491:K492" si="72">ABS(J491-I491)</f>
        <v>2</v>
      </c>
    </row>
    <row r="492" spans="1:11" x14ac:dyDescent="0.3">
      <c r="A492" s="1" t="s">
        <v>498</v>
      </c>
      <c r="B492" s="1">
        <v>8</v>
      </c>
      <c r="C492" s="1">
        <v>6</v>
      </c>
      <c r="D492" s="1">
        <v>4</v>
      </c>
      <c r="E492" s="1">
        <v>5</v>
      </c>
      <c r="F492" s="1">
        <v>0</v>
      </c>
      <c r="G492" s="1">
        <v>2</v>
      </c>
      <c r="H492" s="1">
        <v>3</v>
      </c>
      <c r="I492" s="1">
        <f t="shared" si="65"/>
        <v>5</v>
      </c>
      <c r="J492" s="1">
        <f>_xlfn.XLOOKUP(A492,'[1]Point of Sale Analysis'!$A:$A,'[1]Point of Sale Analysis'!$B:$B,"not found",0)</f>
        <v>1</v>
      </c>
      <c r="K492" s="1">
        <f t="shared" si="72"/>
        <v>4</v>
      </c>
    </row>
    <row r="493" spans="1:11" hidden="1" x14ac:dyDescent="0.3">
      <c r="A493" t="s">
        <v>499</v>
      </c>
      <c r="B493">
        <v>1</v>
      </c>
      <c r="C493">
        <v>1</v>
      </c>
      <c r="D493">
        <v>2</v>
      </c>
      <c r="F493">
        <v>0</v>
      </c>
      <c r="G493">
        <v>0</v>
      </c>
      <c r="H493">
        <v>1</v>
      </c>
      <c r="I493">
        <f t="shared" si="65"/>
        <v>1</v>
      </c>
      <c r="J493" t="str">
        <f>_xlfn.XLOOKUP(A493,'[1]Point of Sale Analysis'!$A:$A,'[1]Point of Sale Analysis'!$B:$B,"not found",0)</f>
        <v>not found</v>
      </c>
    </row>
    <row r="494" spans="1:11" hidden="1" x14ac:dyDescent="0.3">
      <c r="A494" t="s">
        <v>500</v>
      </c>
      <c r="B494">
        <v>2</v>
      </c>
      <c r="C494">
        <v>1</v>
      </c>
      <c r="D494">
        <v>1</v>
      </c>
      <c r="E494">
        <v>5</v>
      </c>
      <c r="F494">
        <v>0</v>
      </c>
      <c r="G494">
        <v>2</v>
      </c>
      <c r="H494">
        <v>0</v>
      </c>
      <c r="I494">
        <f t="shared" si="65"/>
        <v>2</v>
      </c>
      <c r="J494" t="str">
        <f>_xlfn.XLOOKUP(A494,'[1]Point of Sale Analysis'!$A:$A,'[1]Point of Sale Analysis'!$B:$B,"not found",0)</f>
        <v>not found</v>
      </c>
    </row>
    <row r="495" spans="1:11" hidden="1" x14ac:dyDescent="0.3">
      <c r="A495" t="s">
        <v>501</v>
      </c>
      <c r="B495">
        <v>2</v>
      </c>
      <c r="C495">
        <v>3</v>
      </c>
      <c r="F495">
        <v>0</v>
      </c>
      <c r="G495">
        <v>0</v>
      </c>
      <c r="H495">
        <v>2</v>
      </c>
      <c r="I495">
        <f t="shared" si="65"/>
        <v>2</v>
      </c>
      <c r="J495" t="str">
        <f>_xlfn.XLOOKUP(A495,'[1]Point of Sale Analysis'!$A:$A,'[1]Point of Sale Analysis'!$B:$B,"not found",0)</f>
        <v>not found</v>
      </c>
    </row>
    <row r="496" spans="1:11" x14ac:dyDescent="0.3">
      <c r="A496" s="1" t="s">
        <v>502</v>
      </c>
      <c r="B496" s="1">
        <v>7</v>
      </c>
      <c r="C496" s="1">
        <v>8</v>
      </c>
      <c r="D496" s="1">
        <v>7</v>
      </c>
      <c r="E496" s="1">
        <v>8</v>
      </c>
      <c r="F496" s="1">
        <v>5</v>
      </c>
      <c r="G496" s="1">
        <v>9</v>
      </c>
      <c r="H496" s="1">
        <v>0</v>
      </c>
      <c r="I496" s="1">
        <f t="shared" si="65"/>
        <v>9</v>
      </c>
      <c r="J496" s="1">
        <f>_xlfn.XLOOKUP(A496,'[1]Point of Sale Analysis'!$A:$A,'[1]Point of Sale Analysis'!$B:$B,"not found",0)</f>
        <v>7</v>
      </c>
      <c r="K496" s="1">
        <f t="shared" ref="K496:K498" si="73">ABS(J496-I496)</f>
        <v>2</v>
      </c>
    </row>
    <row r="497" spans="1:11" x14ac:dyDescent="0.3">
      <c r="A497" s="1" t="s">
        <v>503</v>
      </c>
      <c r="B497" s="1"/>
      <c r="C497" s="1"/>
      <c r="D497" s="1"/>
      <c r="E497" s="1">
        <v>4</v>
      </c>
      <c r="F497" s="1">
        <v>15</v>
      </c>
      <c r="G497" s="1">
        <v>4</v>
      </c>
      <c r="H497" s="1">
        <v>0</v>
      </c>
      <c r="I497" s="1">
        <f t="shared" si="65"/>
        <v>4</v>
      </c>
      <c r="J497" s="1">
        <f>_xlfn.XLOOKUP(A497,'[1]Point of Sale Analysis'!$A:$A,'[1]Point of Sale Analysis'!$B:$B,"not found",0)</f>
        <v>5</v>
      </c>
      <c r="K497" s="1">
        <f t="shared" si="73"/>
        <v>1</v>
      </c>
    </row>
    <row r="498" spans="1:11" x14ac:dyDescent="0.3">
      <c r="A498" s="1" t="s">
        <v>504</v>
      </c>
      <c r="B498" s="1">
        <v>4</v>
      </c>
      <c r="C498" s="1">
        <v>3</v>
      </c>
      <c r="D498" s="1">
        <v>4</v>
      </c>
      <c r="E498" s="1">
        <v>5</v>
      </c>
      <c r="F498" s="1">
        <v>0</v>
      </c>
      <c r="G498" s="1">
        <v>1</v>
      </c>
      <c r="H498" s="1">
        <v>3</v>
      </c>
      <c r="I498" s="1">
        <f t="shared" si="65"/>
        <v>4</v>
      </c>
      <c r="J498" s="1">
        <f>_xlfn.XLOOKUP(A498,'[1]Point of Sale Analysis'!$A:$A,'[1]Point of Sale Analysis'!$B:$B,"not found",0)</f>
        <v>2</v>
      </c>
      <c r="K498" s="1">
        <f t="shared" si="73"/>
        <v>2</v>
      </c>
    </row>
    <row r="499" spans="1:11" hidden="1" x14ac:dyDescent="0.3">
      <c r="A499" t="s">
        <v>505</v>
      </c>
      <c r="C499">
        <v>2</v>
      </c>
      <c r="E499">
        <v>1</v>
      </c>
      <c r="F499">
        <v>0</v>
      </c>
      <c r="G499">
        <v>2</v>
      </c>
      <c r="H499">
        <v>0</v>
      </c>
      <c r="I499">
        <f t="shared" si="65"/>
        <v>2</v>
      </c>
      <c r="J499" t="str">
        <f>_xlfn.XLOOKUP(A499,'[1]Point of Sale Analysis'!$A:$A,'[1]Point of Sale Analysis'!$B:$B,"not found",0)</f>
        <v>not found</v>
      </c>
    </row>
    <row r="500" spans="1:11" hidden="1" x14ac:dyDescent="0.3">
      <c r="A500" t="s">
        <v>506</v>
      </c>
      <c r="B500">
        <v>1</v>
      </c>
      <c r="D500">
        <v>1</v>
      </c>
      <c r="F500">
        <v>2</v>
      </c>
      <c r="G500">
        <v>0</v>
      </c>
      <c r="H500">
        <v>1</v>
      </c>
      <c r="I500">
        <f t="shared" si="65"/>
        <v>1</v>
      </c>
      <c r="J500" t="str">
        <f>_xlfn.XLOOKUP(A500,'[1]Point of Sale Analysis'!$A:$A,'[1]Point of Sale Analysis'!$B:$B,"not found",0)</f>
        <v>not found</v>
      </c>
    </row>
    <row r="501" spans="1:11" hidden="1" x14ac:dyDescent="0.3">
      <c r="A501" t="s">
        <v>507</v>
      </c>
      <c r="B501">
        <v>1</v>
      </c>
      <c r="C501">
        <v>1</v>
      </c>
      <c r="D501">
        <v>3</v>
      </c>
      <c r="E501">
        <v>2</v>
      </c>
      <c r="F501">
        <v>3</v>
      </c>
      <c r="G501">
        <v>1</v>
      </c>
      <c r="H501">
        <v>0</v>
      </c>
      <c r="I501">
        <f t="shared" si="65"/>
        <v>1</v>
      </c>
      <c r="J501" t="str">
        <f>_xlfn.XLOOKUP(A501,'[1]Point of Sale Analysis'!$A:$A,'[1]Point of Sale Analysis'!$B:$B,"not found",0)</f>
        <v>not found</v>
      </c>
    </row>
    <row r="502" spans="1:11" x14ac:dyDescent="0.3">
      <c r="A502" s="1" t="s">
        <v>508</v>
      </c>
      <c r="B502" s="1"/>
      <c r="C502" s="1"/>
      <c r="D502" s="1"/>
      <c r="E502" s="1">
        <v>1</v>
      </c>
      <c r="F502" s="1">
        <v>3</v>
      </c>
      <c r="G502" s="1">
        <v>2</v>
      </c>
      <c r="H502" s="1">
        <v>0</v>
      </c>
      <c r="I502" s="1">
        <f t="shared" si="65"/>
        <v>2</v>
      </c>
      <c r="J502" s="1">
        <f>_xlfn.XLOOKUP(A502,'[1]Point of Sale Analysis'!$A:$A,'[1]Point of Sale Analysis'!$B:$B,"not found",0)</f>
        <v>1</v>
      </c>
      <c r="K502" s="1">
        <f t="shared" ref="K502:K510" si="74">ABS(J502-I502)</f>
        <v>1</v>
      </c>
    </row>
    <row r="503" spans="1:11" x14ac:dyDescent="0.3">
      <c r="A503" s="1" t="s">
        <v>509</v>
      </c>
      <c r="B503" s="1"/>
      <c r="C503" s="1"/>
      <c r="D503" s="1"/>
      <c r="E503" s="1">
        <v>2</v>
      </c>
      <c r="F503" s="1">
        <v>1</v>
      </c>
      <c r="G503" s="1">
        <v>1</v>
      </c>
      <c r="H503" s="1">
        <v>1</v>
      </c>
      <c r="I503" s="1">
        <f t="shared" si="65"/>
        <v>2</v>
      </c>
      <c r="J503" s="1">
        <f>_xlfn.XLOOKUP(A503,'[1]Point of Sale Analysis'!$A:$A,'[1]Point of Sale Analysis'!$B:$B,"not found",0)</f>
        <v>1</v>
      </c>
      <c r="K503" s="1">
        <f t="shared" si="74"/>
        <v>1</v>
      </c>
    </row>
    <row r="504" spans="1:11" x14ac:dyDescent="0.3">
      <c r="A504" s="1" t="s">
        <v>510</v>
      </c>
      <c r="B504" s="1"/>
      <c r="C504" s="1"/>
      <c r="D504" s="1"/>
      <c r="E504" s="1">
        <v>1</v>
      </c>
      <c r="F504" s="1">
        <v>9</v>
      </c>
      <c r="G504" s="1">
        <v>2</v>
      </c>
      <c r="H504" s="1">
        <v>0</v>
      </c>
      <c r="I504" s="1">
        <f t="shared" si="65"/>
        <v>2</v>
      </c>
      <c r="J504" s="1">
        <f>_xlfn.XLOOKUP(A504,'[1]Point of Sale Analysis'!$A:$A,'[1]Point of Sale Analysis'!$B:$B,"not found",0)</f>
        <v>2</v>
      </c>
      <c r="K504" s="1">
        <f t="shared" si="74"/>
        <v>0</v>
      </c>
    </row>
    <row r="505" spans="1:11" x14ac:dyDescent="0.3">
      <c r="A505" s="1" t="s">
        <v>511</v>
      </c>
      <c r="B505" s="1"/>
      <c r="C505" s="1"/>
      <c r="D505" s="1"/>
      <c r="E505" s="1">
        <v>5</v>
      </c>
      <c r="F505" s="1">
        <v>15</v>
      </c>
      <c r="G505" s="1">
        <v>1</v>
      </c>
      <c r="H505" s="1">
        <v>4</v>
      </c>
      <c r="I505" s="1">
        <f t="shared" si="65"/>
        <v>5</v>
      </c>
      <c r="J505" s="1">
        <f>_xlfn.XLOOKUP(A505,'[1]Point of Sale Analysis'!$A:$A,'[1]Point of Sale Analysis'!$B:$B,"not found",0)</f>
        <v>2</v>
      </c>
      <c r="K505" s="1">
        <f t="shared" si="74"/>
        <v>3</v>
      </c>
    </row>
    <row r="506" spans="1:11" x14ac:dyDescent="0.3">
      <c r="A506" s="1" t="s">
        <v>512</v>
      </c>
      <c r="B506" s="1">
        <v>10</v>
      </c>
      <c r="C506" s="1">
        <v>13</v>
      </c>
      <c r="D506" s="1">
        <v>9</v>
      </c>
      <c r="E506" s="1">
        <v>6</v>
      </c>
      <c r="F506" s="1">
        <v>0</v>
      </c>
      <c r="G506" s="1">
        <v>5</v>
      </c>
      <c r="H506" s="1">
        <v>4</v>
      </c>
      <c r="I506" s="1">
        <f t="shared" si="65"/>
        <v>9</v>
      </c>
      <c r="J506" s="1">
        <f>_xlfn.XLOOKUP(A506,'[1]Point of Sale Analysis'!$A:$A,'[1]Point of Sale Analysis'!$B:$B,"not found",0)</f>
        <v>14</v>
      </c>
      <c r="K506" s="1">
        <f t="shared" si="74"/>
        <v>5</v>
      </c>
    </row>
    <row r="507" spans="1:11" x14ac:dyDescent="0.3">
      <c r="A507" s="1" t="s">
        <v>513</v>
      </c>
      <c r="B507" s="1">
        <v>15</v>
      </c>
      <c r="C507" s="1">
        <v>11</v>
      </c>
      <c r="D507" s="1">
        <v>15</v>
      </c>
      <c r="E507" s="1">
        <v>13</v>
      </c>
      <c r="F507" s="1">
        <v>0</v>
      </c>
      <c r="G507" s="1">
        <v>3</v>
      </c>
      <c r="H507" s="1">
        <v>11</v>
      </c>
      <c r="I507" s="1">
        <f t="shared" si="65"/>
        <v>14</v>
      </c>
      <c r="J507" s="1">
        <f>_xlfn.XLOOKUP(A507,'[1]Point of Sale Analysis'!$A:$A,'[1]Point of Sale Analysis'!$B:$B,"not found",0)</f>
        <v>6</v>
      </c>
      <c r="K507" s="1">
        <f t="shared" si="74"/>
        <v>8</v>
      </c>
    </row>
    <row r="508" spans="1:11" x14ac:dyDescent="0.3">
      <c r="A508" s="1" t="s">
        <v>514</v>
      </c>
      <c r="B508" s="1">
        <v>19</v>
      </c>
      <c r="C508" s="1">
        <v>13</v>
      </c>
      <c r="D508" s="1">
        <v>21</v>
      </c>
      <c r="E508" s="1">
        <v>11</v>
      </c>
      <c r="F508" s="1">
        <v>0</v>
      </c>
      <c r="G508" s="1">
        <v>7</v>
      </c>
      <c r="H508" s="1">
        <v>9</v>
      </c>
      <c r="I508" s="1">
        <f t="shared" si="65"/>
        <v>16</v>
      </c>
      <c r="J508" s="1">
        <f>_xlfn.XLOOKUP(A508,'[1]Point of Sale Analysis'!$A:$A,'[1]Point of Sale Analysis'!$B:$B,"not found",0)</f>
        <v>5</v>
      </c>
      <c r="K508" s="1">
        <f t="shared" si="74"/>
        <v>11</v>
      </c>
    </row>
    <row r="509" spans="1:11" x14ac:dyDescent="0.3">
      <c r="A509" s="1" t="s">
        <v>515</v>
      </c>
      <c r="B509" s="1">
        <v>1</v>
      </c>
      <c r="C509" s="1">
        <v>1</v>
      </c>
      <c r="D509" s="1">
        <v>1</v>
      </c>
      <c r="E509" s="1">
        <v>2</v>
      </c>
      <c r="F509" s="1">
        <v>10</v>
      </c>
      <c r="G509" s="1">
        <v>2</v>
      </c>
      <c r="H509" s="1">
        <v>0</v>
      </c>
      <c r="I509" s="1">
        <f t="shared" si="65"/>
        <v>2</v>
      </c>
      <c r="J509" s="1">
        <f>_xlfn.XLOOKUP(A509,'[1]Point of Sale Analysis'!$A:$A,'[1]Point of Sale Analysis'!$B:$B,"not found",0)</f>
        <v>1</v>
      </c>
      <c r="K509" s="1">
        <f t="shared" si="74"/>
        <v>1</v>
      </c>
    </row>
    <row r="510" spans="1:11" x14ac:dyDescent="0.3">
      <c r="A510" s="1" t="s">
        <v>516</v>
      </c>
      <c r="B510" s="1">
        <v>5</v>
      </c>
      <c r="C510" s="1">
        <v>4</v>
      </c>
      <c r="D510" s="1">
        <v>2</v>
      </c>
      <c r="E510" s="1">
        <v>2</v>
      </c>
      <c r="F510" s="1">
        <v>0</v>
      </c>
      <c r="G510" s="1">
        <v>1</v>
      </c>
      <c r="H510" s="1">
        <v>2</v>
      </c>
      <c r="I510" s="1">
        <f t="shared" si="65"/>
        <v>3</v>
      </c>
      <c r="J510" s="1">
        <f>_xlfn.XLOOKUP(A510,'[1]Point of Sale Analysis'!$A:$A,'[1]Point of Sale Analysis'!$B:$B,"not found",0)</f>
        <v>3</v>
      </c>
      <c r="K510" s="1">
        <f t="shared" si="74"/>
        <v>0</v>
      </c>
    </row>
    <row r="511" spans="1:11" hidden="1" x14ac:dyDescent="0.3">
      <c r="A511" t="s">
        <v>517</v>
      </c>
      <c r="B511">
        <v>2</v>
      </c>
      <c r="E511">
        <v>1</v>
      </c>
      <c r="F511">
        <v>5</v>
      </c>
      <c r="G511">
        <v>2</v>
      </c>
      <c r="H511">
        <v>0</v>
      </c>
      <c r="I511">
        <f t="shared" si="65"/>
        <v>2</v>
      </c>
      <c r="J511" t="str">
        <f>_xlfn.XLOOKUP(A511,'[1]Point of Sale Analysis'!$A:$A,'[1]Point of Sale Analysis'!$B:$B,"not found",0)</f>
        <v>not found</v>
      </c>
    </row>
    <row r="512" spans="1:11" x14ac:dyDescent="0.3">
      <c r="A512" s="1" t="s">
        <v>518</v>
      </c>
      <c r="B512" s="1">
        <v>5</v>
      </c>
      <c r="C512" s="1">
        <v>3</v>
      </c>
      <c r="D512" s="1">
        <v>3</v>
      </c>
      <c r="E512" s="1">
        <v>9</v>
      </c>
      <c r="F512" s="1">
        <v>1</v>
      </c>
      <c r="G512" s="1">
        <v>5</v>
      </c>
      <c r="H512" s="1">
        <v>0</v>
      </c>
      <c r="I512" s="1">
        <f t="shared" si="65"/>
        <v>5</v>
      </c>
      <c r="J512" s="1">
        <f>_xlfn.XLOOKUP(A512,'[1]Point of Sale Analysis'!$A:$A,'[1]Point of Sale Analysis'!$B:$B,"not found",0)</f>
        <v>2</v>
      </c>
      <c r="K512" s="1">
        <f t="shared" ref="K512:K514" si="75">ABS(J512-I512)</f>
        <v>3</v>
      </c>
    </row>
    <row r="513" spans="1:11" x14ac:dyDescent="0.3">
      <c r="A513" s="1" t="s">
        <v>519</v>
      </c>
      <c r="B513" s="1">
        <v>2</v>
      </c>
      <c r="C513" s="1">
        <v>5</v>
      </c>
      <c r="D513" s="1"/>
      <c r="E513" s="1">
        <v>1</v>
      </c>
      <c r="F513" s="1">
        <v>0</v>
      </c>
      <c r="G513" s="1">
        <v>2</v>
      </c>
      <c r="H513" s="1">
        <v>0</v>
      </c>
      <c r="I513" s="1">
        <f t="shared" si="65"/>
        <v>2</v>
      </c>
      <c r="J513" s="1">
        <f>_xlfn.XLOOKUP(A513,'[1]Point of Sale Analysis'!$A:$A,'[1]Point of Sale Analysis'!$B:$B,"not found",0)</f>
        <v>1</v>
      </c>
      <c r="K513" s="1">
        <f t="shared" si="75"/>
        <v>1</v>
      </c>
    </row>
    <row r="514" spans="1:11" x14ac:dyDescent="0.3">
      <c r="A514" s="1" t="s">
        <v>520</v>
      </c>
      <c r="B514" s="1">
        <v>2</v>
      </c>
      <c r="C514" s="1">
        <v>3</v>
      </c>
      <c r="D514" s="1"/>
      <c r="E514" s="1">
        <v>3</v>
      </c>
      <c r="F514" s="1">
        <v>0</v>
      </c>
      <c r="G514" s="1">
        <v>0</v>
      </c>
      <c r="H514" s="1">
        <v>3</v>
      </c>
      <c r="I514" s="1">
        <f t="shared" si="65"/>
        <v>3</v>
      </c>
      <c r="J514" s="1">
        <f>_xlfn.XLOOKUP(A514,'[1]Point of Sale Analysis'!$A:$A,'[1]Point of Sale Analysis'!$B:$B,"not found",0)</f>
        <v>4</v>
      </c>
      <c r="K514" s="1">
        <f t="shared" si="75"/>
        <v>1</v>
      </c>
    </row>
    <row r="515" spans="1:11" hidden="1" x14ac:dyDescent="0.3">
      <c r="A515" t="s">
        <v>521</v>
      </c>
      <c r="B515">
        <v>4</v>
      </c>
      <c r="D515">
        <v>6</v>
      </c>
      <c r="E515">
        <v>5</v>
      </c>
      <c r="F515">
        <v>8</v>
      </c>
      <c r="G515">
        <v>2</v>
      </c>
      <c r="H515">
        <v>3</v>
      </c>
      <c r="I515">
        <f t="shared" ref="I515:I578" si="76">G515+H515</f>
        <v>5</v>
      </c>
      <c r="J515" t="str">
        <f>_xlfn.XLOOKUP(A515,'[1]Point of Sale Analysis'!$A:$A,'[1]Point of Sale Analysis'!$B:$B,"not found",0)</f>
        <v>not found</v>
      </c>
    </row>
    <row r="516" spans="1:11" hidden="1" x14ac:dyDescent="0.3">
      <c r="A516" t="s">
        <v>522</v>
      </c>
      <c r="B516">
        <v>4</v>
      </c>
      <c r="C516">
        <v>3</v>
      </c>
      <c r="D516">
        <v>3</v>
      </c>
      <c r="F516">
        <v>0</v>
      </c>
      <c r="G516">
        <v>0</v>
      </c>
      <c r="H516">
        <v>3</v>
      </c>
      <c r="I516">
        <f t="shared" si="76"/>
        <v>3</v>
      </c>
      <c r="J516" t="str">
        <f>_xlfn.XLOOKUP(A516,'[1]Point of Sale Analysis'!$A:$A,'[1]Point of Sale Analysis'!$B:$B,"not found",0)</f>
        <v>not found</v>
      </c>
    </row>
    <row r="517" spans="1:11" hidden="1" x14ac:dyDescent="0.3">
      <c r="A517" t="s">
        <v>523</v>
      </c>
      <c r="C517">
        <v>1</v>
      </c>
      <c r="F517">
        <v>3</v>
      </c>
      <c r="G517">
        <v>0</v>
      </c>
      <c r="H517">
        <v>1</v>
      </c>
      <c r="I517">
        <f t="shared" si="76"/>
        <v>1</v>
      </c>
      <c r="J517" t="str">
        <f>_xlfn.XLOOKUP(A517,'[1]Point of Sale Analysis'!$A:$A,'[1]Point of Sale Analysis'!$B:$B,"not found",0)</f>
        <v>not found</v>
      </c>
    </row>
    <row r="518" spans="1:11" hidden="1" x14ac:dyDescent="0.3">
      <c r="A518" t="s">
        <v>524</v>
      </c>
      <c r="B518">
        <v>6</v>
      </c>
      <c r="C518">
        <v>6</v>
      </c>
      <c r="D518">
        <v>6</v>
      </c>
      <c r="E518">
        <v>3</v>
      </c>
      <c r="F518">
        <v>10</v>
      </c>
      <c r="G518">
        <v>2</v>
      </c>
      <c r="H518">
        <v>4</v>
      </c>
      <c r="I518">
        <f t="shared" si="76"/>
        <v>6</v>
      </c>
      <c r="J518" t="str">
        <f>_xlfn.XLOOKUP(A518,'[1]Point of Sale Analysis'!$A:$A,'[1]Point of Sale Analysis'!$B:$B,"not found",0)</f>
        <v>not found</v>
      </c>
    </row>
    <row r="519" spans="1:11" x14ac:dyDescent="0.3">
      <c r="A519" s="1" t="s">
        <v>525</v>
      </c>
      <c r="B519" s="1">
        <v>6</v>
      </c>
      <c r="C519" s="1">
        <v>1</v>
      </c>
      <c r="D519" s="1"/>
      <c r="E519" s="1"/>
      <c r="F519" s="1">
        <v>4</v>
      </c>
      <c r="G519" s="1">
        <v>1</v>
      </c>
      <c r="H519" s="1">
        <v>2</v>
      </c>
      <c r="I519" s="1">
        <f t="shared" si="76"/>
        <v>3</v>
      </c>
      <c r="J519" s="1">
        <f>_xlfn.XLOOKUP(A519,'[1]Point of Sale Analysis'!$A:$A,'[1]Point of Sale Analysis'!$B:$B,"not found",0)</f>
        <v>2</v>
      </c>
      <c r="K519" s="1">
        <f>ABS(J519-I519)</f>
        <v>1</v>
      </c>
    </row>
    <row r="520" spans="1:11" hidden="1" x14ac:dyDescent="0.3">
      <c r="A520" t="s">
        <v>526</v>
      </c>
      <c r="C520">
        <v>1</v>
      </c>
      <c r="F520">
        <v>2</v>
      </c>
      <c r="G520">
        <v>2</v>
      </c>
      <c r="H520">
        <v>0</v>
      </c>
      <c r="I520">
        <f t="shared" si="76"/>
        <v>2</v>
      </c>
      <c r="J520" t="str">
        <f>_xlfn.XLOOKUP(A520,'[1]Point of Sale Analysis'!$A:$A,'[1]Point of Sale Analysis'!$B:$B,"not found",0)</f>
        <v>not found</v>
      </c>
    </row>
    <row r="521" spans="1:11" hidden="1" x14ac:dyDescent="0.3">
      <c r="A521" t="s">
        <v>527</v>
      </c>
      <c r="B521">
        <v>6</v>
      </c>
      <c r="C521">
        <v>8</v>
      </c>
      <c r="D521">
        <v>7</v>
      </c>
      <c r="E521">
        <v>7</v>
      </c>
      <c r="F521">
        <v>8</v>
      </c>
      <c r="G521">
        <v>6</v>
      </c>
      <c r="H521">
        <v>1</v>
      </c>
      <c r="I521">
        <f t="shared" si="76"/>
        <v>7</v>
      </c>
      <c r="J521" t="str">
        <f>_xlfn.XLOOKUP(A521,'[1]Point of Sale Analysis'!$A:$A,'[1]Point of Sale Analysis'!$B:$B,"not found",0)</f>
        <v>not found</v>
      </c>
    </row>
    <row r="522" spans="1:11" x14ac:dyDescent="0.3">
      <c r="A522" s="1" t="s">
        <v>528</v>
      </c>
      <c r="B522" s="1">
        <v>4</v>
      </c>
      <c r="C522" s="1">
        <v>5</v>
      </c>
      <c r="D522" s="1">
        <v>1</v>
      </c>
      <c r="E522" s="1">
        <v>5</v>
      </c>
      <c r="F522" s="1">
        <v>33</v>
      </c>
      <c r="G522" s="1">
        <v>8</v>
      </c>
      <c r="H522" s="1">
        <v>0</v>
      </c>
      <c r="I522" s="1">
        <f t="shared" si="76"/>
        <v>8</v>
      </c>
      <c r="J522" s="1">
        <f>_xlfn.XLOOKUP(A522,'[1]Point of Sale Analysis'!$A:$A,'[1]Point of Sale Analysis'!$B:$B,"not found",0)</f>
        <v>2</v>
      </c>
      <c r="K522" s="1">
        <f>ABS(J522-I522)</f>
        <v>6</v>
      </c>
    </row>
    <row r="523" spans="1:11" hidden="1" x14ac:dyDescent="0.3">
      <c r="A523" t="s">
        <v>529</v>
      </c>
      <c r="B523">
        <v>10</v>
      </c>
      <c r="C523">
        <v>22</v>
      </c>
      <c r="D523">
        <v>17</v>
      </c>
      <c r="E523">
        <v>12</v>
      </c>
      <c r="F523">
        <v>0</v>
      </c>
      <c r="G523">
        <v>0</v>
      </c>
      <c r="H523">
        <v>14</v>
      </c>
      <c r="I523">
        <f t="shared" si="76"/>
        <v>14</v>
      </c>
      <c r="J523" t="str">
        <f>_xlfn.XLOOKUP(A523,'[1]Point of Sale Analysis'!$A:$A,'[1]Point of Sale Analysis'!$B:$B,"not found",0)</f>
        <v>not found</v>
      </c>
    </row>
    <row r="524" spans="1:11" hidden="1" x14ac:dyDescent="0.3">
      <c r="A524" t="s">
        <v>530</v>
      </c>
      <c r="B524">
        <v>13</v>
      </c>
      <c r="C524">
        <v>17</v>
      </c>
      <c r="D524">
        <v>18</v>
      </c>
      <c r="F524">
        <v>53</v>
      </c>
      <c r="G524">
        <v>2</v>
      </c>
      <c r="H524">
        <v>15</v>
      </c>
      <c r="I524">
        <f t="shared" si="76"/>
        <v>17</v>
      </c>
      <c r="J524" t="str">
        <f>_xlfn.XLOOKUP(A524,'[1]Point of Sale Analysis'!$A:$A,'[1]Point of Sale Analysis'!$B:$B,"not found",0)</f>
        <v>not found</v>
      </c>
    </row>
    <row r="525" spans="1:11" x14ac:dyDescent="0.3">
      <c r="A525" s="1" t="s">
        <v>531</v>
      </c>
      <c r="B525" s="1">
        <v>10</v>
      </c>
      <c r="C525" s="1">
        <v>6</v>
      </c>
      <c r="D525" s="1">
        <v>7</v>
      </c>
      <c r="E525" s="1">
        <v>7</v>
      </c>
      <c r="F525" s="1">
        <v>0</v>
      </c>
      <c r="G525" s="1">
        <v>3</v>
      </c>
      <c r="H525" s="1">
        <v>4</v>
      </c>
      <c r="I525" s="1">
        <f t="shared" si="76"/>
        <v>7</v>
      </c>
      <c r="J525" s="1">
        <f>_xlfn.XLOOKUP(A525,'[1]Point of Sale Analysis'!$A:$A,'[1]Point of Sale Analysis'!$B:$B,"not found",0)</f>
        <v>1</v>
      </c>
      <c r="K525" s="1">
        <f>ABS(J525-I525)</f>
        <v>6</v>
      </c>
    </row>
    <row r="526" spans="1:11" hidden="1" x14ac:dyDescent="0.3">
      <c r="A526" t="s">
        <v>532</v>
      </c>
      <c r="B526">
        <v>10</v>
      </c>
      <c r="C526">
        <v>1</v>
      </c>
      <c r="D526">
        <v>3</v>
      </c>
      <c r="F526">
        <v>28</v>
      </c>
      <c r="G526">
        <v>7</v>
      </c>
      <c r="H526">
        <v>0</v>
      </c>
      <c r="I526">
        <f t="shared" si="76"/>
        <v>7</v>
      </c>
      <c r="J526" t="str">
        <f>_xlfn.XLOOKUP(A526,'[1]Point of Sale Analysis'!$A:$A,'[1]Point of Sale Analysis'!$B:$B,"not found",0)</f>
        <v>not found</v>
      </c>
    </row>
    <row r="527" spans="1:11" x14ac:dyDescent="0.3">
      <c r="A527" s="1" t="s">
        <v>533</v>
      </c>
      <c r="B527" s="1">
        <v>1</v>
      </c>
      <c r="C527" s="1"/>
      <c r="D527" s="1"/>
      <c r="E527" s="1"/>
      <c r="F527" s="1">
        <v>24</v>
      </c>
      <c r="G527" s="1">
        <v>7</v>
      </c>
      <c r="H527" s="1">
        <v>0</v>
      </c>
      <c r="I527" s="1">
        <f t="shared" si="76"/>
        <v>7</v>
      </c>
      <c r="J527" s="1">
        <f>_xlfn.XLOOKUP(A527,'[1]Point of Sale Analysis'!$A:$A,'[1]Point of Sale Analysis'!$B:$B,"not found",0)</f>
        <v>3</v>
      </c>
      <c r="K527" s="1">
        <f>ABS(J527-I527)</f>
        <v>4</v>
      </c>
    </row>
    <row r="528" spans="1:11" hidden="1" x14ac:dyDescent="0.3">
      <c r="A528" t="s">
        <v>534</v>
      </c>
      <c r="E528">
        <v>1</v>
      </c>
      <c r="F528">
        <v>30</v>
      </c>
      <c r="G528">
        <v>2</v>
      </c>
      <c r="H528">
        <v>0</v>
      </c>
      <c r="I528">
        <f t="shared" si="76"/>
        <v>2</v>
      </c>
      <c r="J528" t="str">
        <f>_xlfn.XLOOKUP(A528,'[1]Point of Sale Analysis'!$A:$A,'[1]Point of Sale Analysis'!$B:$B,"not found",0)</f>
        <v>not found</v>
      </c>
    </row>
    <row r="529" spans="1:11" x14ac:dyDescent="0.3">
      <c r="A529" s="1" t="s">
        <v>535</v>
      </c>
      <c r="B529" s="1">
        <v>1</v>
      </c>
      <c r="C529" s="1">
        <v>1</v>
      </c>
      <c r="D529" s="1">
        <v>1</v>
      </c>
      <c r="E529" s="1">
        <v>2</v>
      </c>
      <c r="F529" s="1">
        <v>0</v>
      </c>
      <c r="G529" s="1">
        <v>0</v>
      </c>
      <c r="H529" s="1">
        <v>1</v>
      </c>
      <c r="I529" s="1">
        <f t="shared" si="76"/>
        <v>1</v>
      </c>
      <c r="J529" s="1">
        <f>_xlfn.XLOOKUP(A529,'[1]Point of Sale Analysis'!$A:$A,'[1]Point of Sale Analysis'!$B:$B,"not found",0)</f>
        <v>4</v>
      </c>
      <c r="K529" s="1">
        <f>ABS(J529-I529)</f>
        <v>3</v>
      </c>
    </row>
    <row r="530" spans="1:11" hidden="1" x14ac:dyDescent="0.3">
      <c r="A530" t="s">
        <v>536</v>
      </c>
      <c r="B530">
        <v>10</v>
      </c>
      <c r="C530">
        <v>5</v>
      </c>
      <c r="D530">
        <v>6</v>
      </c>
      <c r="E530">
        <v>3</v>
      </c>
      <c r="F530">
        <v>0</v>
      </c>
      <c r="G530">
        <v>1</v>
      </c>
      <c r="H530">
        <v>4</v>
      </c>
      <c r="I530">
        <f t="shared" si="76"/>
        <v>5</v>
      </c>
      <c r="J530" t="str">
        <f>_xlfn.XLOOKUP(A530,'[1]Point of Sale Analysis'!$A:$A,'[1]Point of Sale Analysis'!$B:$B,"not found",0)</f>
        <v>not found</v>
      </c>
    </row>
    <row r="531" spans="1:11" x14ac:dyDescent="0.3">
      <c r="A531" s="1" t="s">
        <v>537</v>
      </c>
      <c r="B531" s="1">
        <v>11</v>
      </c>
      <c r="C531" s="1">
        <v>6</v>
      </c>
      <c r="D531" s="1">
        <v>11</v>
      </c>
      <c r="E531" s="1">
        <v>11</v>
      </c>
      <c r="F531" s="1">
        <v>0</v>
      </c>
      <c r="G531" s="1">
        <v>-1</v>
      </c>
      <c r="H531" s="1">
        <v>12</v>
      </c>
      <c r="I531" s="1">
        <f t="shared" si="76"/>
        <v>11</v>
      </c>
      <c r="J531" s="1">
        <f>_xlfn.XLOOKUP(A531,'[1]Point of Sale Analysis'!$A:$A,'[1]Point of Sale Analysis'!$B:$B,"not found",0)</f>
        <v>1</v>
      </c>
      <c r="K531" s="1">
        <f>ABS(J531-I531)</f>
        <v>10</v>
      </c>
    </row>
    <row r="532" spans="1:11" hidden="1" x14ac:dyDescent="0.3">
      <c r="A532" t="s">
        <v>538</v>
      </c>
      <c r="B532">
        <v>6</v>
      </c>
      <c r="D532">
        <v>1</v>
      </c>
      <c r="E532">
        <v>1</v>
      </c>
      <c r="F532">
        <v>16</v>
      </c>
      <c r="G532">
        <v>2</v>
      </c>
      <c r="H532">
        <v>0</v>
      </c>
      <c r="I532">
        <f t="shared" si="76"/>
        <v>2</v>
      </c>
      <c r="J532" t="str">
        <f>_xlfn.XLOOKUP(A532,'[1]Point of Sale Analysis'!$A:$A,'[1]Point of Sale Analysis'!$B:$B,"not found",0)</f>
        <v>not found</v>
      </c>
    </row>
    <row r="533" spans="1:11" x14ac:dyDescent="0.3">
      <c r="A533" s="1" t="s">
        <v>539</v>
      </c>
      <c r="B533" s="1">
        <v>4</v>
      </c>
      <c r="C533" s="1">
        <v>5</v>
      </c>
      <c r="D533" s="1">
        <v>4</v>
      </c>
      <c r="E533" s="1">
        <v>2</v>
      </c>
      <c r="F533" s="1">
        <v>0</v>
      </c>
      <c r="G533" s="1">
        <v>-1</v>
      </c>
      <c r="H533" s="1">
        <v>5</v>
      </c>
      <c r="I533" s="1">
        <f t="shared" si="76"/>
        <v>4</v>
      </c>
      <c r="J533" s="1">
        <f>_xlfn.XLOOKUP(A533,'[1]Point of Sale Analysis'!$A:$A,'[1]Point of Sale Analysis'!$B:$B,"not found",0)</f>
        <v>7</v>
      </c>
      <c r="K533" s="1">
        <f t="shared" ref="K533:K535" si="77">ABS(J533-I533)</f>
        <v>3</v>
      </c>
    </row>
    <row r="534" spans="1:11" x14ac:dyDescent="0.3">
      <c r="A534" s="1" t="s">
        <v>540</v>
      </c>
      <c r="B534" s="1">
        <v>3</v>
      </c>
      <c r="C534" s="1">
        <v>3</v>
      </c>
      <c r="D534" s="1">
        <v>2</v>
      </c>
      <c r="E534" s="1">
        <v>1</v>
      </c>
      <c r="F534" s="1">
        <v>0</v>
      </c>
      <c r="G534" s="1">
        <v>6</v>
      </c>
      <c r="H534" s="1">
        <v>0</v>
      </c>
      <c r="I534" s="1">
        <f t="shared" si="76"/>
        <v>6</v>
      </c>
      <c r="J534" s="1">
        <f>_xlfn.XLOOKUP(A534,'[1]Point of Sale Analysis'!$A:$A,'[1]Point of Sale Analysis'!$B:$B,"not found",0)</f>
        <v>1</v>
      </c>
      <c r="K534" s="1">
        <f t="shared" si="77"/>
        <v>5</v>
      </c>
    </row>
    <row r="535" spans="1:11" x14ac:dyDescent="0.3">
      <c r="A535" s="1" t="s">
        <v>541</v>
      </c>
      <c r="B535" s="1">
        <v>1</v>
      </c>
      <c r="C535" s="1">
        <v>2</v>
      </c>
      <c r="D535" s="1">
        <v>4</v>
      </c>
      <c r="E535" s="1"/>
      <c r="F535" s="1">
        <v>0</v>
      </c>
      <c r="G535" s="1">
        <v>2</v>
      </c>
      <c r="H535" s="1">
        <v>0</v>
      </c>
      <c r="I535" s="1">
        <f t="shared" si="76"/>
        <v>2</v>
      </c>
      <c r="J535" s="1">
        <f>_xlfn.XLOOKUP(A535,'[1]Point of Sale Analysis'!$A:$A,'[1]Point of Sale Analysis'!$B:$B,"not found",0)</f>
        <v>1</v>
      </c>
      <c r="K535" s="1">
        <f t="shared" si="77"/>
        <v>1</v>
      </c>
    </row>
    <row r="536" spans="1:11" hidden="1" x14ac:dyDescent="0.3">
      <c r="A536" t="s">
        <v>542</v>
      </c>
      <c r="E536">
        <v>1</v>
      </c>
      <c r="F536">
        <v>0</v>
      </c>
      <c r="G536">
        <v>4</v>
      </c>
      <c r="H536">
        <v>0</v>
      </c>
      <c r="I536">
        <f t="shared" si="76"/>
        <v>4</v>
      </c>
      <c r="J536" t="str">
        <f>_xlfn.XLOOKUP(A536,'[1]Point of Sale Analysis'!$A:$A,'[1]Point of Sale Analysis'!$B:$B,"not found",0)</f>
        <v>not found</v>
      </c>
    </row>
    <row r="537" spans="1:11" hidden="1" x14ac:dyDescent="0.3">
      <c r="A537" t="s">
        <v>543</v>
      </c>
      <c r="B537">
        <v>1</v>
      </c>
      <c r="D537">
        <v>1</v>
      </c>
      <c r="E537">
        <v>1</v>
      </c>
      <c r="F537">
        <v>15</v>
      </c>
      <c r="G537">
        <v>4</v>
      </c>
      <c r="H537">
        <v>0</v>
      </c>
      <c r="I537">
        <f t="shared" si="76"/>
        <v>4</v>
      </c>
      <c r="J537" t="str">
        <f>_xlfn.XLOOKUP(A537,'[1]Point of Sale Analysis'!$A:$A,'[1]Point of Sale Analysis'!$B:$B,"not found",0)</f>
        <v>not found</v>
      </c>
    </row>
    <row r="538" spans="1:11" x14ac:dyDescent="0.3">
      <c r="A538" s="1" t="s">
        <v>544</v>
      </c>
      <c r="B538" s="1"/>
      <c r="C538" s="1">
        <v>2</v>
      </c>
      <c r="D538" s="1"/>
      <c r="E538" s="1">
        <v>4</v>
      </c>
      <c r="F538" s="1">
        <v>9</v>
      </c>
      <c r="G538" s="1">
        <v>3</v>
      </c>
      <c r="H538" s="1">
        <v>0</v>
      </c>
      <c r="I538" s="1">
        <f t="shared" si="76"/>
        <v>3</v>
      </c>
      <c r="J538" s="1">
        <f>_xlfn.XLOOKUP(A538,'[1]Point of Sale Analysis'!$A:$A,'[1]Point of Sale Analysis'!$B:$B,"not found",0)</f>
        <v>1</v>
      </c>
      <c r="K538" s="1">
        <f>ABS(J538-I538)</f>
        <v>2</v>
      </c>
    </row>
    <row r="539" spans="1:11" hidden="1" x14ac:dyDescent="0.3">
      <c r="A539" t="s">
        <v>545</v>
      </c>
      <c r="B539">
        <v>1</v>
      </c>
      <c r="C539">
        <v>1</v>
      </c>
      <c r="E539">
        <v>1</v>
      </c>
      <c r="F539">
        <v>0</v>
      </c>
      <c r="G539">
        <v>6</v>
      </c>
      <c r="H539">
        <v>0</v>
      </c>
      <c r="I539">
        <f t="shared" si="76"/>
        <v>6</v>
      </c>
      <c r="J539" t="str">
        <f>_xlfn.XLOOKUP(A539,'[1]Point of Sale Analysis'!$A:$A,'[1]Point of Sale Analysis'!$B:$B,"not found",0)</f>
        <v>not found</v>
      </c>
    </row>
    <row r="540" spans="1:11" x14ac:dyDescent="0.3">
      <c r="A540" s="1" t="s">
        <v>546</v>
      </c>
      <c r="B540" s="1"/>
      <c r="C540" s="1"/>
      <c r="D540" s="1"/>
      <c r="E540" s="1">
        <v>2</v>
      </c>
      <c r="F540" s="1">
        <v>4</v>
      </c>
      <c r="G540" s="1">
        <v>1</v>
      </c>
      <c r="H540" s="1">
        <v>1</v>
      </c>
      <c r="I540" s="1">
        <f t="shared" si="76"/>
        <v>2</v>
      </c>
      <c r="J540" s="1">
        <f>_xlfn.XLOOKUP(A540,'[1]Point of Sale Analysis'!$A:$A,'[1]Point of Sale Analysis'!$B:$B,"not found",0)</f>
        <v>1</v>
      </c>
      <c r="K540" s="1">
        <f>ABS(J540-I540)</f>
        <v>1</v>
      </c>
    </row>
    <row r="541" spans="1:11" hidden="1" x14ac:dyDescent="0.3">
      <c r="A541" t="s">
        <v>547</v>
      </c>
      <c r="B541">
        <v>1</v>
      </c>
      <c r="D541">
        <v>1</v>
      </c>
      <c r="F541">
        <v>3</v>
      </c>
      <c r="G541">
        <v>3</v>
      </c>
      <c r="H541">
        <v>0</v>
      </c>
      <c r="I541">
        <f t="shared" si="76"/>
        <v>3</v>
      </c>
      <c r="J541" t="str">
        <f>_xlfn.XLOOKUP(A541,'[1]Point of Sale Analysis'!$A:$A,'[1]Point of Sale Analysis'!$B:$B,"not found",0)</f>
        <v>not found</v>
      </c>
    </row>
    <row r="542" spans="1:11" hidden="1" x14ac:dyDescent="0.3">
      <c r="A542" t="s">
        <v>548</v>
      </c>
      <c r="C542">
        <v>1</v>
      </c>
      <c r="F542">
        <v>0</v>
      </c>
      <c r="G542">
        <v>0</v>
      </c>
      <c r="H542">
        <v>1</v>
      </c>
      <c r="I542">
        <f t="shared" si="76"/>
        <v>1</v>
      </c>
      <c r="J542" t="str">
        <f>_xlfn.XLOOKUP(A542,'[1]Point of Sale Analysis'!$A:$A,'[1]Point of Sale Analysis'!$B:$B,"not found",0)</f>
        <v>not found</v>
      </c>
    </row>
    <row r="543" spans="1:11" hidden="1" x14ac:dyDescent="0.3">
      <c r="A543" t="s">
        <v>549</v>
      </c>
      <c r="B543">
        <v>1</v>
      </c>
      <c r="C543">
        <v>2</v>
      </c>
      <c r="D543">
        <v>1</v>
      </c>
      <c r="F543">
        <v>2</v>
      </c>
      <c r="G543">
        <v>1</v>
      </c>
      <c r="H543">
        <v>0</v>
      </c>
      <c r="I543">
        <f t="shared" si="76"/>
        <v>1</v>
      </c>
      <c r="J543" t="str">
        <f>_xlfn.XLOOKUP(A543,'[1]Point of Sale Analysis'!$A:$A,'[1]Point of Sale Analysis'!$B:$B,"not found",0)</f>
        <v>not found</v>
      </c>
    </row>
    <row r="544" spans="1:11" hidden="1" x14ac:dyDescent="0.3">
      <c r="A544" t="s">
        <v>550</v>
      </c>
      <c r="E544">
        <v>1</v>
      </c>
      <c r="F544">
        <v>3</v>
      </c>
      <c r="G544">
        <v>3</v>
      </c>
      <c r="H544">
        <v>0</v>
      </c>
      <c r="I544">
        <f t="shared" si="76"/>
        <v>3</v>
      </c>
      <c r="J544" t="str">
        <f>_xlfn.XLOOKUP(A544,'[1]Point of Sale Analysis'!$A:$A,'[1]Point of Sale Analysis'!$B:$B,"not found",0)</f>
        <v>not found</v>
      </c>
    </row>
    <row r="545" spans="1:11" hidden="1" x14ac:dyDescent="0.3">
      <c r="A545" t="s">
        <v>551</v>
      </c>
      <c r="B545">
        <v>2</v>
      </c>
      <c r="D545">
        <v>1</v>
      </c>
      <c r="F545">
        <v>3</v>
      </c>
      <c r="G545">
        <v>2</v>
      </c>
      <c r="H545">
        <v>0</v>
      </c>
      <c r="I545">
        <f t="shared" si="76"/>
        <v>2</v>
      </c>
      <c r="J545" t="str">
        <f>_xlfn.XLOOKUP(A545,'[1]Point of Sale Analysis'!$A:$A,'[1]Point of Sale Analysis'!$B:$B,"not found",0)</f>
        <v>not found</v>
      </c>
    </row>
    <row r="546" spans="1:11" hidden="1" x14ac:dyDescent="0.3">
      <c r="A546" t="s">
        <v>552</v>
      </c>
      <c r="D546">
        <v>1</v>
      </c>
      <c r="F546">
        <v>4</v>
      </c>
      <c r="G546">
        <v>3</v>
      </c>
      <c r="H546">
        <v>0</v>
      </c>
      <c r="I546">
        <f t="shared" si="76"/>
        <v>3</v>
      </c>
      <c r="J546" t="str">
        <f>_xlfn.XLOOKUP(A546,'[1]Point of Sale Analysis'!$A:$A,'[1]Point of Sale Analysis'!$B:$B,"not found",0)</f>
        <v>not found</v>
      </c>
    </row>
    <row r="547" spans="1:11" hidden="1" x14ac:dyDescent="0.3">
      <c r="A547" t="s">
        <v>553</v>
      </c>
      <c r="C547">
        <v>2</v>
      </c>
      <c r="E547">
        <v>1</v>
      </c>
      <c r="F547">
        <v>6</v>
      </c>
      <c r="G547">
        <v>1</v>
      </c>
      <c r="H547">
        <v>0</v>
      </c>
      <c r="I547">
        <f t="shared" si="76"/>
        <v>1</v>
      </c>
      <c r="J547" t="str">
        <f>_xlfn.XLOOKUP(A547,'[1]Point of Sale Analysis'!$A:$A,'[1]Point of Sale Analysis'!$B:$B,"not found",0)</f>
        <v>not found</v>
      </c>
    </row>
    <row r="548" spans="1:11" x14ac:dyDescent="0.3">
      <c r="A548" s="1" t="s">
        <v>554</v>
      </c>
      <c r="B548" s="1"/>
      <c r="C548" s="1"/>
      <c r="D548" s="1">
        <v>1</v>
      </c>
      <c r="E548" s="1"/>
      <c r="F548" s="1">
        <v>5</v>
      </c>
      <c r="G548" s="1">
        <v>2</v>
      </c>
      <c r="H548" s="1">
        <v>0</v>
      </c>
      <c r="I548" s="1">
        <f t="shared" si="76"/>
        <v>2</v>
      </c>
      <c r="J548" s="1">
        <f>_xlfn.XLOOKUP(A548,'[1]Point of Sale Analysis'!$A:$A,'[1]Point of Sale Analysis'!$B:$B,"not found",0)</f>
        <v>1</v>
      </c>
      <c r="K548" s="1">
        <f>ABS(J548-I548)</f>
        <v>1</v>
      </c>
    </row>
    <row r="549" spans="1:11" hidden="1" x14ac:dyDescent="0.3">
      <c r="A549" t="s">
        <v>555</v>
      </c>
      <c r="B549">
        <v>1</v>
      </c>
      <c r="F549">
        <v>2</v>
      </c>
      <c r="G549">
        <v>0</v>
      </c>
      <c r="H549">
        <v>1</v>
      </c>
      <c r="I549">
        <f t="shared" si="76"/>
        <v>1</v>
      </c>
      <c r="J549" t="str">
        <f>_xlfn.XLOOKUP(A549,'[1]Point of Sale Analysis'!$A:$A,'[1]Point of Sale Analysis'!$B:$B,"not found",0)</f>
        <v>not found</v>
      </c>
    </row>
    <row r="550" spans="1:11" hidden="1" x14ac:dyDescent="0.3">
      <c r="A550" t="s">
        <v>556</v>
      </c>
      <c r="E550">
        <v>2</v>
      </c>
      <c r="F550">
        <v>0</v>
      </c>
      <c r="G550">
        <v>1</v>
      </c>
      <c r="H550">
        <v>1</v>
      </c>
      <c r="I550">
        <f t="shared" si="76"/>
        <v>2</v>
      </c>
      <c r="J550" t="str">
        <f>_xlfn.XLOOKUP(A550,'[1]Point of Sale Analysis'!$A:$A,'[1]Point of Sale Analysis'!$B:$B,"not found",0)</f>
        <v>not found</v>
      </c>
    </row>
    <row r="551" spans="1:11" hidden="1" x14ac:dyDescent="0.3">
      <c r="A551" t="s">
        <v>557</v>
      </c>
      <c r="B551">
        <v>3</v>
      </c>
      <c r="D551">
        <v>1</v>
      </c>
      <c r="F551">
        <v>0</v>
      </c>
      <c r="G551">
        <v>4</v>
      </c>
      <c r="H551">
        <v>0</v>
      </c>
      <c r="I551">
        <f t="shared" si="76"/>
        <v>4</v>
      </c>
      <c r="J551" t="str">
        <f>_xlfn.XLOOKUP(A551,'[1]Point of Sale Analysis'!$A:$A,'[1]Point of Sale Analysis'!$B:$B,"not found",0)</f>
        <v>not found</v>
      </c>
    </row>
    <row r="552" spans="1:11" x14ac:dyDescent="0.3">
      <c r="A552" s="1" t="s">
        <v>558</v>
      </c>
      <c r="B552" s="1">
        <v>2</v>
      </c>
      <c r="C552" s="1"/>
      <c r="D552" s="1"/>
      <c r="E552" s="1">
        <v>3</v>
      </c>
      <c r="F552" s="1">
        <v>0</v>
      </c>
      <c r="G552" s="1">
        <v>0</v>
      </c>
      <c r="H552" s="1">
        <v>2</v>
      </c>
      <c r="I552" s="1">
        <f t="shared" si="76"/>
        <v>2</v>
      </c>
      <c r="J552" s="1">
        <f>_xlfn.XLOOKUP(A552,'[1]Point of Sale Analysis'!$A:$A,'[1]Point of Sale Analysis'!$B:$B,"not found",0)</f>
        <v>2</v>
      </c>
      <c r="K552" s="1">
        <f>ABS(J552-I552)</f>
        <v>0</v>
      </c>
    </row>
    <row r="553" spans="1:11" hidden="1" x14ac:dyDescent="0.3">
      <c r="A553" t="s">
        <v>559</v>
      </c>
      <c r="C553">
        <v>1</v>
      </c>
      <c r="F553">
        <v>1</v>
      </c>
      <c r="G553">
        <v>2</v>
      </c>
      <c r="H553">
        <v>0</v>
      </c>
      <c r="I553">
        <f t="shared" si="76"/>
        <v>2</v>
      </c>
      <c r="J553" t="str">
        <f>_xlfn.XLOOKUP(A553,'[1]Point of Sale Analysis'!$A:$A,'[1]Point of Sale Analysis'!$B:$B,"not found",0)</f>
        <v>not found</v>
      </c>
    </row>
    <row r="554" spans="1:11" hidden="1" x14ac:dyDescent="0.3">
      <c r="A554" t="s">
        <v>560</v>
      </c>
      <c r="B554">
        <v>3</v>
      </c>
      <c r="C554">
        <v>1</v>
      </c>
      <c r="D554">
        <v>4</v>
      </c>
      <c r="E554">
        <v>5</v>
      </c>
      <c r="F554">
        <v>0</v>
      </c>
      <c r="G554">
        <v>0</v>
      </c>
      <c r="H554">
        <v>3</v>
      </c>
      <c r="I554">
        <f t="shared" si="76"/>
        <v>3</v>
      </c>
      <c r="J554" t="str">
        <f>_xlfn.XLOOKUP(A554,'[1]Point of Sale Analysis'!$A:$A,'[1]Point of Sale Analysis'!$B:$B,"not found",0)</f>
        <v>not found</v>
      </c>
    </row>
    <row r="555" spans="1:11" x14ac:dyDescent="0.3">
      <c r="A555" s="1" t="s">
        <v>561</v>
      </c>
      <c r="B555" s="1">
        <v>1</v>
      </c>
      <c r="C555" s="1">
        <v>2</v>
      </c>
      <c r="D555" s="1"/>
      <c r="E555" s="1">
        <v>3</v>
      </c>
      <c r="F555" s="1">
        <v>9</v>
      </c>
      <c r="G555" s="1">
        <v>2</v>
      </c>
      <c r="H555" s="1">
        <v>0</v>
      </c>
      <c r="I555" s="1">
        <f t="shared" si="76"/>
        <v>2</v>
      </c>
      <c r="J555" s="1">
        <f>_xlfn.XLOOKUP(A555,'[1]Point of Sale Analysis'!$A:$A,'[1]Point of Sale Analysis'!$B:$B,"not found",0)</f>
        <v>2</v>
      </c>
      <c r="K555" s="1">
        <f>ABS(J555-I555)</f>
        <v>0</v>
      </c>
    </row>
    <row r="556" spans="1:11" hidden="1" x14ac:dyDescent="0.3">
      <c r="A556" t="s">
        <v>562</v>
      </c>
      <c r="C556">
        <v>2</v>
      </c>
      <c r="F556">
        <v>2</v>
      </c>
      <c r="G556">
        <v>3</v>
      </c>
      <c r="H556">
        <v>0</v>
      </c>
      <c r="I556">
        <f t="shared" si="76"/>
        <v>3</v>
      </c>
      <c r="J556" t="str">
        <f>_xlfn.XLOOKUP(A556,'[1]Point of Sale Analysis'!$A:$A,'[1]Point of Sale Analysis'!$B:$B,"not found",0)</f>
        <v>not found</v>
      </c>
    </row>
    <row r="557" spans="1:11" hidden="1" x14ac:dyDescent="0.3">
      <c r="A557" t="s">
        <v>563</v>
      </c>
      <c r="B557">
        <v>2</v>
      </c>
      <c r="F557">
        <v>4</v>
      </c>
      <c r="G557">
        <v>0</v>
      </c>
      <c r="H557">
        <v>2</v>
      </c>
      <c r="I557">
        <f t="shared" si="76"/>
        <v>2</v>
      </c>
      <c r="J557" t="str">
        <f>_xlfn.XLOOKUP(A557,'[1]Point of Sale Analysis'!$A:$A,'[1]Point of Sale Analysis'!$B:$B,"not found",0)</f>
        <v>not found</v>
      </c>
    </row>
    <row r="558" spans="1:11" hidden="1" x14ac:dyDescent="0.3">
      <c r="A558" t="s">
        <v>564</v>
      </c>
      <c r="B558">
        <v>1</v>
      </c>
      <c r="C558">
        <v>2</v>
      </c>
      <c r="D558">
        <v>2</v>
      </c>
      <c r="E558">
        <v>2</v>
      </c>
      <c r="F558">
        <v>0</v>
      </c>
      <c r="G558">
        <v>2</v>
      </c>
      <c r="H558">
        <v>0</v>
      </c>
      <c r="I558">
        <f t="shared" si="76"/>
        <v>2</v>
      </c>
      <c r="J558" t="str">
        <f>_xlfn.XLOOKUP(A558,'[1]Point of Sale Analysis'!$A:$A,'[1]Point of Sale Analysis'!$B:$B,"not found",0)</f>
        <v>not found</v>
      </c>
    </row>
    <row r="559" spans="1:11" x14ac:dyDescent="0.3">
      <c r="A559" s="1" t="s">
        <v>565</v>
      </c>
      <c r="B559" s="1">
        <v>1</v>
      </c>
      <c r="C559" s="1">
        <v>3</v>
      </c>
      <c r="D559" s="1">
        <v>1</v>
      </c>
      <c r="E559" s="1">
        <v>5</v>
      </c>
      <c r="F559" s="1">
        <v>0</v>
      </c>
      <c r="G559" s="1">
        <v>1</v>
      </c>
      <c r="H559" s="1">
        <v>1</v>
      </c>
      <c r="I559" s="1">
        <f t="shared" si="76"/>
        <v>2</v>
      </c>
      <c r="J559" s="1">
        <f>_xlfn.XLOOKUP(A559,'[1]Point of Sale Analysis'!$A:$A,'[1]Point of Sale Analysis'!$B:$B,"not found",0)</f>
        <v>1</v>
      </c>
      <c r="K559" s="1">
        <f>ABS(J559-I559)</f>
        <v>1</v>
      </c>
    </row>
    <row r="560" spans="1:11" hidden="1" x14ac:dyDescent="0.3">
      <c r="A560" t="s">
        <v>566</v>
      </c>
      <c r="B560">
        <v>2</v>
      </c>
      <c r="C560">
        <v>2</v>
      </c>
      <c r="F560">
        <v>0</v>
      </c>
      <c r="G560">
        <v>2</v>
      </c>
      <c r="H560">
        <v>0</v>
      </c>
      <c r="I560">
        <f t="shared" si="76"/>
        <v>2</v>
      </c>
      <c r="J560" t="str">
        <f>_xlfn.XLOOKUP(A560,'[1]Point of Sale Analysis'!$A:$A,'[1]Point of Sale Analysis'!$B:$B,"not found",0)</f>
        <v>not found</v>
      </c>
    </row>
    <row r="561" spans="1:11" hidden="1" x14ac:dyDescent="0.3">
      <c r="A561" t="s">
        <v>567</v>
      </c>
      <c r="B561">
        <v>3</v>
      </c>
      <c r="C561">
        <v>2</v>
      </c>
      <c r="D561">
        <v>1</v>
      </c>
      <c r="E561">
        <v>5</v>
      </c>
      <c r="F561">
        <v>0</v>
      </c>
      <c r="G561">
        <v>-1</v>
      </c>
      <c r="H561">
        <v>3</v>
      </c>
      <c r="I561">
        <f t="shared" si="76"/>
        <v>2</v>
      </c>
      <c r="J561" t="str">
        <f>_xlfn.XLOOKUP(A561,'[1]Point of Sale Analysis'!$A:$A,'[1]Point of Sale Analysis'!$B:$B,"not found",0)</f>
        <v>not found</v>
      </c>
    </row>
    <row r="562" spans="1:11" x14ac:dyDescent="0.3">
      <c r="A562" s="1" t="s">
        <v>568</v>
      </c>
      <c r="B562" s="1">
        <v>5</v>
      </c>
      <c r="C562" s="1"/>
      <c r="D562" s="1"/>
      <c r="E562" s="1">
        <v>2</v>
      </c>
      <c r="F562" s="1">
        <v>0</v>
      </c>
      <c r="G562" s="1">
        <v>1</v>
      </c>
      <c r="H562" s="1">
        <v>2</v>
      </c>
      <c r="I562" s="1">
        <f t="shared" si="76"/>
        <v>3</v>
      </c>
      <c r="J562" s="1">
        <f>_xlfn.XLOOKUP(A562,'[1]Point of Sale Analysis'!$A:$A,'[1]Point of Sale Analysis'!$B:$B,"not found",0)</f>
        <v>1</v>
      </c>
      <c r="K562" s="1">
        <f>ABS(J562-I562)</f>
        <v>2</v>
      </c>
    </row>
    <row r="563" spans="1:11" hidden="1" x14ac:dyDescent="0.3">
      <c r="A563" t="s">
        <v>569</v>
      </c>
      <c r="B563">
        <v>3</v>
      </c>
      <c r="C563">
        <v>2</v>
      </c>
      <c r="F563">
        <v>0</v>
      </c>
      <c r="G563">
        <v>1</v>
      </c>
      <c r="H563">
        <v>1</v>
      </c>
      <c r="I563">
        <f t="shared" si="76"/>
        <v>2</v>
      </c>
      <c r="J563" t="str">
        <f>_xlfn.XLOOKUP(A563,'[1]Point of Sale Analysis'!$A:$A,'[1]Point of Sale Analysis'!$B:$B,"not found",0)</f>
        <v>not found</v>
      </c>
    </row>
    <row r="564" spans="1:11" hidden="1" x14ac:dyDescent="0.3">
      <c r="A564" t="s">
        <v>570</v>
      </c>
      <c r="B564">
        <v>1</v>
      </c>
      <c r="C564">
        <v>2</v>
      </c>
      <c r="F564">
        <v>0</v>
      </c>
      <c r="G564">
        <v>1</v>
      </c>
      <c r="H564">
        <v>0</v>
      </c>
      <c r="I564">
        <f t="shared" si="76"/>
        <v>1</v>
      </c>
      <c r="J564" t="str">
        <f>_xlfn.XLOOKUP(A564,'[1]Point of Sale Analysis'!$A:$A,'[1]Point of Sale Analysis'!$B:$B,"not found",0)</f>
        <v>not found</v>
      </c>
    </row>
    <row r="565" spans="1:11" x14ac:dyDescent="0.3">
      <c r="A565" s="1" t="s">
        <v>571</v>
      </c>
      <c r="B565" s="1"/>
      <c r="C565" s="1"/>
      <c r="D565" s="1">
        <v>28</v>
      </c>
      <c r="E565" s="1">
        <v>53</v>
      </c>
      <c r="F565" s="1">
        <v>20</v>
      </c>
      <c r="G565" s="1">
        <v>0</v>
      </c>
      <c r="H565" s="1">
        <v>40</v>
      </c>
      <c r="I565" s="1">
        <f t="shared" si="76"/>
        <v>40</v>
      </c>
      <c r="J565" s="1">
        <f>_xlfn.XLOOKUP(A565,'[1]Point of Sale Analysis'!$A:$A,'[1]Point of Sale Analysis'!$B:$B,"not found",0)</f>
        <v>59</v>
      </c>
      <c r="K565" s="1">
        <f>ABS(J565-I565)</f>
        <v>19</v>
      </c>
    </row>
    <row r="566" spans="1:11" hidden="1" x14ac:dyDescent="0.3">
      <c r="A566" t="s">
        <v>572</v>
      </c>
      <c r="B566">
        <v>1</v>
      </c>
      <c r="F566">
        <v>0</v>
      </c>
      <c r="G566">
        <v>0</v>
      </c>
      <c r="H566">
        <v>1</v>
      </c>
      <c r="I566">
        <f t="shared" si="76"/>
        <v>1</v>
      </c>
      <c r="J566" t="str">
        <f>_xlfn.XLOOKUP(A566,'[1]Point of Sale Analysis'!$A:$A,'[1]Point of Sale Analysis'!$B:$B,"not found",0)</f>
        <v>not found</v>
      </c>
    </row>
    <row r="567" spans="1:11" hidden="1" x14ac:dyDescent="0.3">
      <c r="A567" t="s">
        <v>573</v>
      </c>
      <c r="B567">
        <v>1</v>
      </c>
      <c r="F567">
        <v>3</v>
      </c>
      <c r="G567">
        <v>0</v>
      </c>
      <c r="H567">
        <v>1</v>
      </c>
      <c r="I567">
        <f t="shared" si="76"/>
        <v>1</v>
      </c>
      <c r="J567" t="str">
        <f>_xlfn.XLOOKUP(A567,'[1]Point of Sale Analysis'!$A:$A,'[1]Point of Sale Analysis'!$B:$B,"not found",0)</f>
        <v>not found</v>
      </c>
    </row>
    <row r="568" spans="1:11" hidden="1" x14ac:dyDescent="0.3">
      <c r="A568" t="s">
        <v>574</v>
      </c>
      <c r="E568">
        <v>1</v>
      </c>
      <c r="F568">
        <v>1</v>
      </c>
      <c r="G568">
        <v>4</v>
      </c>
      <c r="H568">
        <v>0</v>
      </c>
      <c r="I568">
        <f t="shared" si="76"/>
        <v>4</v>
      </c>
      <c r="J568" t="str">
        <f>_xlfn.XLOOKUP(A568,'[1]Point of Sale Analysis'!$A:$A,'[1]Point of Sale Analysis'!$B:$B,"not found",0)</f>
        <v>not found</v>
      </c>
    </row>
    <row r="569" spans="1:11" hidden="1" x14ac:dyDescent="0.3">
      <c r="A569" t="s">
        <v>575</v>
      </c>
      <c r="B569">
        <v>2</v>
      </c>
      <c r="C569">
        <v>3</v>
      </c>
      <c r="D569">
        <v>2</v>
      </c>
      <c r="E569">
        <v>4</v>
      </c>
      <c r="F569">
        <v>0</v>
      </c>
      <c r="G569">
        <v>2</v>
      </c>
      <c r="H569">
        <v>0</v>
      </c>
      <c r="I569">
        <f t="shared" si="76"/>
        <v>2</v>
      </c>
      <c r="J569" t="str">
        <f>_xlfn.XLOOKUP(A569,'[1]Point of Sale Analysis'!$A:$A,'[1]Point of Sale Analysis'!$B:$B,"not found",0)</f>
        <v>not found</v>
      </c>
    </row>
    <row r="570" spans="1:11" hidden="1" x14ac:dyDescent="0.3">
      <c r="A570" t="s">
        <v>576</v>
      </c>
      <c r="C570">
        <v>4</v>
      </c>
      <c r="F570">
        <v>4</v>
      </c>
      <c r="G570">
        <v>4</v>
      </c>
      <c r="H570">
        <v>0</v>
      </c>
      <c r="I570">
        <f t="shared" si="76"/>
        <v>4</v>
      </c>
      <c r="J570" t="str">
        <f>_xlfn.XLOOKUP(A570,'[1]Point of Sale Analysis'!$A:$A,'[1]Point of Sale Analysis'!$B:$B,"not found",0)</f>
        <v>not found</v>
      </c>
    </row>
    <row r="571" spans="1:11" x14ac:dyDescent="0.3">
      <c r="A571" s="1" t="s">
        <v>577</v>
      </c>
      <c r="B571" s="1">
        <v>2</v>
      </c>
      <c r="C571" s="1"/>
      <c r="D571" s="1">
        <v>1</v>
      </c>
      <c r="E571" s="1"/>
      <c r="F571" s="1">
        <v>0</v>
      </c>
      <c r="G571" s="1">
        <v>4</v>
      </c>
      <c r="H571" s="1">
        <v>0</v>
      </c>
      <c r="I571" s="1">
        <f t="shared" si="76"/>
        <v>4</v>
      </c>
      <c r="J571" s="1">
        <f>_xlfn.XLOOKUP(A571,'[1]Point of Sale Analysis'!$A:$A,'[1]Point of Sale Analysis'!$B:$B,"not found",0)</f>
        <v>2</v>
      </c>
      <c r="K571" s="1">
        <f t="shared" ref="K571:K572" si="78">ABS(J571-I571)</f>
        <v>2</v>
      </c>
    </row>
    <row r="572" spans="1:11" x14ac:dyDescent="0.3">
      <c r="A572" s="1" t="s">
        <v>578</v>
      </c>
      <c r="B572" s="1"/>
      <c r="C572" s="1"/>
      <c r="D572" s="1">
        <v>2</v>
      </c>
      <c r="E572" s="1">
        <v>1</v>
      </c>
      <c r="F572" s="1">
        <v>0</v>
      </c>
      <c r="G572" s="1">
        <v>0</v>
      </c>
      <c r="H572" s="1">
        <v>1</v>
      </c>
      <c r="I572" s="1">
        <f t="shared" si="76"/>
        <v>1</v>
      </c>
      <c r="J572" s="1">
        <f>_xlfn.XLOOKUP(A572,'[1]Point of Sale Analysis'!$A:$A,'[1]Point of Sale Analysis'!$B:$B,"not found",0)</f>
        <v>1</v>
      </c>
      <c r="K572" s="1">
        <f t="shared" si="78"/>
        <v>0</v>
      </c>
    </row>
    <row r="573" spans="1:11" hidden="1" x14ac:dyDescent="0.3">
      <c r="A573" t="s">
        <v>579</v>
      </c>
      <c r="C573">
        <v>1</v>
      </c>
      <c r="F573">
        <v>4</v>
      </c>
      <c r="G573">
        <v>1</v>
      </c>
      <c r="H573">
        <v>0</v>
      </c>
      <c r="I573">
        <f t="shared" si="76"/>
        <v>1</v>
      </c>
      <c r="J573" t="str">
        <f>_xlfn.XLOOKUP(A573,'[1]Point of Sale Analysis'!$A:$A,'[1]Point of Sale Analysis'!$B:$B,"not found",0)</f>
        <v>not found</v>
      </c>
    </row>
    <row r="574" spans="1:11" x14ac:dyDescent="0.3">
      <c r="A574" s="1" t="s">
        <v>580</v>
      </c>
      <c r="B574" s="1">
        <v>6</v>
      </c>
      <c r="C574" s="1">
        <v>4</v>
      </c>
      <c r="D574" s="1">
        <v>4</v>
      </c>
      <c r="E574" s="1">
        <v>6</v>
      </c>
      <c r="F574" s="1">
        <v>0</v>
      </c>
      <c r="G574" s="1">
        <v>1</v>
      </c>
      <c r="H574" s="1">
        <v>4</v>
      </c>
      <c r="I574" s="1">
        <f t="shared" si="76"/>
        <v>5</v>
      </c>
      <c r="J574" s="1">
        <f>_xlfn.XLOOKUP(A574,'[1]Point of Sale Analysis'!$A:$A,'[1]Point of Sale Analysis'!$B:$B,"not found",0)</f>
        <v>4</v>
      </c>
      <c r="K574" s="1">
        <f t="shared" ref="K574:K578" si="79">ABS(J574-I574)</f>
        <v>1</v>
      </c>
    </row>
    <row r="575" spans="1:11" x14ac:dyDescent="0.3">
      <c r="A575" s="1" t="s">
        <v>581</v>
      </c>
      <c r="B575" s="1">
        <v>6</v>
      </c>
      <c r="C575" s="1">
        <v>4</v>
      </c>
      <c r="D575" s="1">
        <v>7</v>
      </c>
      <c r="E575" s="1">
        <v>4</v>
      </c>
      <c r="F575" s="1">
        <v>0</v>
      </c>
      <c r="G575" s="1">
        <v>0</v>
      </c>
      <c r="H575" s="1">
        <v>5</v>
      </c>
      <c r="I575" s="1">
        <f t="shared" si="76"/>
        <v>5</v>
      </c>
      <c r="J575" s="1">
        <f>_xlfn.XLOOKUP(A575,'[1]Point of Sale Analysis'!$A:$A,'[1]Point of Sale Analysis'!$B:$B,"not found",0)</f>
        <v>4</v>
      </c>
      <c r="K575" s="1">
        <f t="shared" si="79"/>
        <v>1</v>
      </c>
    </row>
    <row r="576" spans="1:11" x14ac:dyDescent="0.3">
      <c r="A576" s="1" t="s">
        <v>582</v>
      </c>
      <c r="B576" s="1"/>
      <c r="C576" s="1">
        <v>1</v>
      </c>
      <c r="D576" s="1">
        <v>1</v>
      </c>
      <c r="E576" s="1">
        <v>1</v>
      </c>
      <c r="F576" s="1">
        <v>0</v>
      </c>
      <c r="G576" s="1">
        <v>2</v>
      </c>
      <c r="H576" s="1">
        <v>0</v>
      </c>
      <c r="I576" s="1">
        <f t="shared" si="76"/>
        <v>2</v>
      </c>
      <c r="J576" s="1">
        <f>_xlfn.XLOOKUP(A576,'[1]Point of Sale Analysis'!$A:$A,'[1]Point of Sale Analysis'!$B:$B,"not found",0)</f>
        <v>1</v>
      </c>
      <c r="K576" s="1">
        <f t="shared" si="79"/>
        <v>1</v>
      </c>
    </row>
    <row r="577" spans="1:11" x14ac:dyDescent="0.3">
      <c r="A577" s="1" t="s">
        <v>583</v>
      </c>
      <c r="B577" s="1">
        <v>4</v>
      </c>
      <c r="C577" s="1">
        <v>5</v>
      </c>
      <c r="D577" s="1">
        <v>6</v>
      </c>
      <c r="E577" s="1">
        <v>4</v>
      </c>
      <c r="F577" s="1">
        <v>27</v>
      </c>
      <c r="G577" s="1">
        <v>5</v>
      </c>
      <c r="H577" s="1">
        <v>0</v>
      </c>
      <c r="I577" s="1">
        <f t="shared" si="76"/>
        <v>5</v>
      </c>
      <c r="J577" s="1">
        <f>_xlfn.XLOOKUP(A577,'[1]Point of Sale Analysis'!$A:$A,'[1]Point of Sale Analysis'!$B:$B,"not found",0)</f>
        <v>4</v>
      </c>
      <c r="K577" s="1">
        <f t="shared" si="79"/>
        <v>1</v>
      </c>
    </row>
    <row r="578" spans="1:11" x14ac:dyDescent="0.3">
      <c r="A578" s="1" t="s">
        <v>584</v>
      </c>
      <c r="B578" s="1">
        <v>5</v>
      </c>
      <c r="C578" s="1">
        <v>1</v>
      </c>
      <c r="D578" s="1">
        <v>2</v>
      </c>
      <c r="E578" s="1">
        <v>3</v>
      </c>
      <c r="F578" s="1">
        <v>31</v>
      </c>
      <c r="G578" s="1">
        <v>2</v>
      </c>
      <c r="H578" s="1">
        <v>0</v>
      </c>
      <c r="I578" s="1">
        <f t="shared" si="76"/>
        <v>2</v>
      </c>
      <c r="J578" s="1">
        <f>_xlfn.XLOOKUP(A578,'[1]Point of Sale Analysis'!$A:$A,'[1]Point of Sale Analysis'!$B:$B,"not found",0)</f>
        <v>2</v>
      </c>
      <c r="K578" s="1">
        <f t="shared" si="79"/>
        <v>0</v>
      </c>
    </row>
    <row r="579" spans="1:11" hidden="1" x14ac:dyDescent="0.3">
      <c r="A579" t="s">
        <v>585</v>
      </c>
      <c r="D579">
        <v>2</v>
      </c>
      <c r="F579">
        <v>6</v>
      </c>
      <c r="G579">
        <v>4</v>
      </c>
      <c r="H579">
        <v>0</v>
      </c>
      <c r="I579">
        <f t="shared" ref="I579:I642" si="80">G579+H579</f>
        <v>4</v>
      </c>
      <c r="J579" t="str">
        <f>_xlfn.XLOOKUP(A579,'[1]Point of Sale Analysis'!$A:$A,'[1]Point of Sale Analysis'!$B:$B,"not found",0)</f>
        <v>not found</v>
      </c>
    </row>
    <row r="580" spans="1:11" hidden="1" x14ac:dyDescent="0.3">
      <c r="A580" t="s">
        <v>586</v>
      </c>
      <c r="B580">
        <v>3</v>
      </c>
      <c r="C580">
        <v>1</v>
      </c>
      <c r="F580">
        <v>13</v>
      </c>
      <c r="G580">
        <v>1</v>
      </c>
      <c r="H580">
        <v>1</v>
      </c>
      <c r="I580">
        <f t="shared" si="80"/>
        <v>2</v>
      </c>
      <c r="J580" t="str">
        <f>_xlfn.XLOOKUP(A580,'[1]Point of Sale Analysis'!$A:$A,'[1]Point of Sale Analysis'!$B:$B,"not found",0)</f>
        <v>not found</v>
      </c>
    </row>
    <row r="581" spans="1:11" hidden="1" x14ac:dyDescent="0.3">
      <c r="A581" t="s">
        <v>587</v>
      </c>
      <c r="E581">
        <v>1</v>
      </c>
      <c r="F581">
        <v>6</v>
      </c>
      <c r="G581">
        <v>2</v>
      </c>
      <c r="H581">
        <v>0</v>
      </c>
      <c r="I581">
        <f t="shared" si="80"/>
        <v>2</v>
      </c>
      <c r="J581" t="str">
        <f>_xlfn.XLOOKUP(A581,'[1]Point of Sale Analysis'!$A:$A,'[1]Point of Sale Analysis'!$B:$B,"not found",0)</f>
        <v>not found</v>
      </c>
    </row>
    <row r="582" spans="1:11" x14ac:dyDescent="0.3">
      <c r="A582" s="1" t="s">
        <v>588</v>
      </c>
      <c r="B582" s="1"/>
      <c r="C582" s="1"/>
      <c r="D582" s="1"/>
      <c r="E582" s="1">
        <v>2</v>
      </c>
      <c r="F582" s="1">
        <v>33</v>
      </c>
      <c r="G582" s="1">
        <v>5</v>
      </c>
      <c r="H582" s="1">
        <v>0</v>
      </c>
      <c r="I582" s="1">
        <f t="shared" si="80"/>
        <v>5</v>
      </c>
      <c r="J582" s="1">
        <f>_xlfn.XLOOKUP(A582,'[1]Point of Sale Analysis'!$A:$A,'[1]Point of Sale Analysis'!$B:$B,"not found",0)</f>
        <v>1</v>
      </c>
      <c r="K582" s="1">
        <f>ABS(J582-I582)</f>
        <v>4</v>
      </c>
    </row>
    <row r="583" spans="1:11" hidden="1" x14ac:dyDescent="0.3">
      <c r="A583" t="s">
        <v>589</v>
      </c>
      <c r="E583">
        <v>3</v>
      </c>
      <c r="F583">
        <v>31</v>
      </c>
      <c r="G583">
        <v>6</v>
      </c>
      <c r="H583">
        <v>0</v>
      </c>
      <c r="I583">
        <f t="shared" si="80"/>
        <v>6</v>
      </c>
      <c r="J583" t="str">
        <f>_xlfn.XLOOKUP(A583,'[1]Point of Sale Analysis'!$A:$A,'[1]Point of Sale Analysis'!$B:$B,"not found",0)</f>
        <v>not found</v>
      </c>
    </row>
    <row r="584" spans="1:11" x14ac:dyDescent="0.3">
      <c r="A584" s="1" t="s">
        <v>590</v>
      </c>
      <c r="B584" s="1"/>
      <c r="C584" s="1"/>
      <c r="D584" s="1"/>
      <c r="E584" s="1">
        <v>1</v>
      </c>
      <c r="F584" s="1">
        <v>43</v>
      </c>
      <c r="G584" s="1">
        <v>4</v>
      </c>
      <c r="H584" s="1">
        <v>0</v>
      </c>
      <c r="I584" s="1">
        <f t="shared" si="80"/>
        <v>4</v>
      </c>
      <c r="J584" s="1">
        <f>_xlfn.XLOOKUP(A584,'[1]Point of Sale Analysis'!$A:$A,'[1]Point of Sale Analysis'!$B:$B,"not found",0)</f>
        <v>1</v>
      </c>
      <c r="K584" s="1">
        <f t="shared" ref="K584:K588" si="81">ABS(J584-I584)</f>
        <v>3</v>
      </c>
    </row>
    <row r="585" spans="1:11" x14ac:dyDescent="0.3">
      <c r="A585" s="1" t="s">
        <v>591</v>
      </c>
      <c r="B585" s="1">
        <v>5</v>
      </c>
      <c r="C585" s="1">
        <v>2</v>
      </c>
      <c r="D585" s="1">
        <v>2</v>
      </c>
      <c r="E585" s="1"/>
      <c r="F585" s="1">
        <v>34</v>
      </c>
      <c r="G585" s="1">
        <v>7</v>
      </c>
      <c r="H585" s="1">
        <v>0</v>
      </c>
      <c r="I585" s="1">
        <f t="shared" si="80"/>
        <v>7</v>
      </c>
      <c r="J585" s="1">
        <f>_xlfn.XLOOKUP(A585,'[1]Point of Sale Analysis'!$A:$A,'[1]Point of Sale Analysis'!$B:$B,"not found",0)</f>
        <v>4</v>
      </c>
      <c r="K585" s="1">
        <f t="shared" si="81"/>
        <v>3</v>
      </c>
    </row>
    <row r="586" spans="1:11" x14ac:dyDescent="0.3">
      <c r="A586" s="1" t="s">
        <v>592</v>
      </c>
      <c r="B586" s="1"/>
      <c r="C586" s="1"/>
      <c r="D586" s="1"/>
      <c r="E586" s="1">
        <v>1</v>
      </c>
      <c r="F586" s="1">
        <v>14</v>
      </c>
      <c r="G586" s="1">
        <v>1</v>
      </c>
      <c r="H586" s="1">
        <v>0</v>
      </c>
      <c r="I586" s="1">
        <f t="shared" si="80"/>
        <v>1</v>
      </c>
      <c r="J586" s="1">
        <f>_xlfn.XLOOKUP(A586,'[1]Point of Sale Analysis'!$A:$A,'[1]Point of Sale Analysis'!$B:$B,"not found",0)</f>
        <v>5</v>
      </c>
      <c r="K586" s="1">
        <f t="shared" si="81"/>
        <v>4</v>
      </c>
    </row>
    <row r="587" spans="1:11" x14ac:dyDescent="0.3">
      <c r="A587" s="1" t="s">
        <v>593</v>
      </c>
      <c r="B587" s="1"/>
      <c r="C587" s="1"/>
      <c r="D587" s="1"/>
      <c r="E587" s="1">
        <v>4</v>
      </c>
      <c r="F587" s="1">
        <v>31</v>
      </c>
      <c r="G587" s="1">
        <v>5</v>
      </c>
      <c r="H587" s="1">
        <v>0</v>
      </c>
      <c r="I587" s="1">
        <f t="shared" si="80"/>
        <v>5</v>
      </c>
      <c r="J587" s="1">
        <f>_xlfn.XLOOKUP(A587,'[1]Point of Sale Analysis'!$A:$A,'[1]Point of Sale Analysis'!$B:$B,"not found",0)</f>
        <v>3</v>
      </c>
      <c r="K587" s="1">
        <f t="shared" si="81"/>
        <v>2</v>
      </c>
    </row>
    <row r="588" spans="1:11" x14ac:dyDescent="0.3">
      <c r="A588" s="1" t="s">
        <v>594</v>
      </c>
      <c r="B588" s="1">
        <v>15</v>
      </c>
      <c r="C588" s="1">
        <v>11</v>
      </c>
      <c r="D588" s="1">
        <v>11</v>
      </c>
      <c r="E588" s="1">
        <v>10</v>
      </c>
      <c r="F588" s="1">
        <v>10</v>
      </c>
      <c r="G588" s="1">
        <v>0</v>
      </c>
      <c r="H588" s="1">
        <v>11</v>
      </c>
      <c r="I588" s="1">
        <f t="shared" si="80"/>
        <v>11</v>
      </c>
      <c r="J588" s="1">
        <f>_xlfn.XLOOKUP(A588,'[1]Point of Sale Analysis'!$A:$A,'[1]Point of Sale Analysis'!$B:$B,"not found",0)</f>
        <v>11</v>
      </c>
      <c r="K588" s="1">
        <f t="shared" si="81"/>
        <v>0</v>
      </c>
    </row>
    <row r="589" spans="1:11" hidden="1" x14ac:dyDescent="0.3">
      <c r="A589" t="s">
        <v>595</v>
      </c>
      <c r="B589">
        <v>4</v>
      </c>
      <c r="C589">
        <v>3</v>
      </c>
      <c r="D589">
        <v>7</v>
      </c>
      <c r="E589">
        <v>4</v>
      </c>
      <c r="F589">
        <v>46</v>
      </c>
      <c r="G589">
        <v>9</v>
      </c>
      <c r="H589">
        <v>0</v>
      </c>
      <c r="I589">
        <f t="shared" si="80"/>
        <v>9</v>
      </c>
      <c r="J589" t="str">
        <f>_xlfn.XLOOKUP(A589,'[1]Point of Sale Analysis'!$A:$A,'[1]Point of Sale Analysis'!$B:$B,"not found",0)</f>
        <v>not found</v>
      </c>
    </row>
    <row r="590" spans="1:11" hidden="1" x14ac:dyDescent="0.3">
      <c r="A590" t="s">
        <v>596</v>
      </c>
      <c r="E590">
        <v>5</v>
      </c>
      <c r="F590">
        <v>28</v>
      </c>
      <c r="G590">
        <v>10</v>
      </c>
      <c r="H590">
        <v>0</v>
      </c>
      <c r="I590">
        <f t="shared" si="80"/>
        <v>10</v>
      </c>
      <c r="J590" t="str">
        <f>_xlfn.XLOOKUP(A590,'[1]Point of Sale Analysis'!$A:$A,'[1]Point of Sale Analysis'!$B:$B,"not found",0)</f>
        <v>not found</v>
      </c>
    </row>
    <row r="591" spans="1:11" hidden="1" x14ac:dyDescent="0.3">
      <c r="A591" t="s">
        <v>597</v>
      </c>
      <c r="B591">
        <v>2</v>
      </c>
      <c r="F591">
        <v>38</v>
      </c>
      <c r="G591">
        <v>1</v>
      </c>
      <c r="H591">
        <v>1</v>
      </c>
      <c r="I591">
        <f t="shared" si="80"/>
        <v>2</v>
      </c>
      <c r="J591" t="str">
        <f>_xlfn.XLOOKUP(A591,'[1]Point of Sale Analysis'!$A:$A,'[1]Point of Sale Analysis'!$B:$B,"not found",0)</f>
        <v>not found</v>
      </c>
    </row>
    <row r="592" spans="1:11" hidden="1" x14ac:dyDescent="0.3">
      <c r="A592" t="s">
        <v>598</v>
      </c>
      <c r="B592">
        <v>3</v>
      </c>
      <c r="C592">
        <v>3</v>
      </c>
      <c r="D592">
        <v>4</v>
      </c>
      <c r="E592">
        <v>1</v>
      </c>
      <c r="F592">
        <v>6</v>
      </c>
      <c r="G592">
        <v>1</v>
      </c>
      <c r="H592">
        <v>2</v>
      </c>
      <c r="I592">
        <f t="shared" si="80"/>
        <v>3</v>
      </c>
      <c r="J592" t="str">
        <f>_xlfn.XLOOKUP(A592,'[1]Point of Sale Analysis'!$A:$A,'[1]Point of Sale Analysis'!$B:$B,"not found",0)</f>
        <v>not found</v>
      </c>
    </row>
    <row r="593" spans="1:11" x14ac:dyDescent="0.3">
      <c r="A593" s="1" t="s">
        <v>599</v>
      </c>
      <c r="B593" s="1">
        <v>3</v>
      </c>
      <c r="C593" s="1"/>
      <c r="D593" s="1">
        <v>4</v>
      </c>
      <c r="E593" s="1">
        <v>5</v>
      </c>
      <c r="F593" s="1">
        <v>80</v>
      </c>
      <c r="G593" s="1">
        <v>8</v>
      </c>
      <c r="H593" s="1">
        <v>0</v>
      </c>
      <c r="I593" s="1">
        <f t="shared" si="80"/>
        <v>8</v>
      </c>
      <c r="J593" s="1">
        <f>_xlfn.XLOOKUP(A593,'[1]Point of Sale Analysis'!$A:$A,'[1]Point of Sale Analysis'!$B:$B,"not found",0)</f>
        <v>2</v>
      </c>
      <c r="K593" s="1">
        <f t="shared" ref="K593:K594" si="82">ABS(J593-I593)</f>
        <v>6</v>
      </c>
    </row>
    <row r="594" spans="1:11" x14ac:dyDescent="0.3">
      <c r="A594" s="1" t="s">
        <v>600</v>
      </c>
      <c r="B594" s="1">
        <v>4</v>
      </c>
      <c r="C594" s="1"/>
      <c r="D594" s="1">
        <v>3</v>
      </c>
      <c r="E594" s="1">
        <v>2</v>
      </c>
      <c r="F594" s="1">
        <v>19</v>
      </c>
      <c r="G594" s="1">
        <v>0</v>
      </c>
      <c r="H594" s="1">
        <v>3</v>
      </c>
      <c r="I594" s="1">
        <f t="shared" si="80"/>
        <v>3</v>
      </c>
      <c r="J594" s="1">
        <f>_xlfn.XLOOKUP(A594,'[1]Point of Sale Analysis'!$A:$A,'[1]Point of Sale Analysis'!$B:$B,"not found",0)</f>
        <v>4</v>
      </c>
      <c r="K594" s="1">
        <f t="shared" si="82"/>
        <v>1</v>
      </c>
    </row>
    <row r="595" spans="1:11" hidden="1" x14ac:dyDescent="0.3">
      <c r="A595" t="s">
        <v>601</v>
      </c>
      <c r="B595">
        <v>3</v>
      </c>
      <c r="C595">
        <v>1</v>
      </c>
      <c r="D595">
        <v>3</v>
      </c>
      <c r="E595">
        <v>3</v>
      </c>
      <c r="F595">
        <v>7</v>
      </c>
      <c r="G595">
        <v>2</v>
      </c>
      <c r="H595">
        <v>1</v>
      </c>
      <c r="I595">
        <f t="shared" si="80"/>
        <v>3</v>
      </c>
      <c r="J595" t="str">
        <f>_xlfn.XLOOKUP(A595,'[1]Point of Sale Analysis'!$A:$A,'[1]Point of Sale Analysis'!$B:$B,"not found",0)</f>
        <v>not found</v>
      </c>
    </row>
    <row r="596" spans="1:11" x14ac:dyDescent="0.3">
      <c r="A596" s="1" t="s">
        <v>602</v>
      </c>
      <c r="B596" s="1">
        <v>2</v>
      </c>
      <c r="C596" s="1">
        <v>4</v>
      </c>
      <c r="D596" s="1">
        <v>1</v>
      </c>
      <c r="E596" s="1">
        <v>2</v>
      </c>
      <c r="F596" s="1">
        <v>0</v>
      </c>
      <c r="G596" s="1">
        <v>0</v>
      </c>
      <c r="H596" s="1">
        <v>2</v>
      </c>
      <c r="I596" s="1">
        <f t="shared" si="80"/>
        <v>2</v>
      </c>
      <c r="J596" s="1">
        <f>_xlfn.XLOOKUP(A596,'[1]Point of Sale Analysis'!$A:$A,'[1]Point of Sale Analysis'!$B:$B,"not found",0)</f>
        <v>2</v>
      </c>
      <c r="K596" s="1">
        <f t="shared" ref="K596:K600" si="83">ABS(J596-I596)</f>
        <v>0</v>
      </c>
    </row>
    <row r="597" spans="1:11" x14ac:dyDescent="0.3">
      <c r="A597" s="1" t="s">
        <v>603</v>
      </c>
      <c r="B597" s="1">
        <v>7</v>
      </c>
      <c r="C597" s="1">
        <v>2</v>
      </c>
      <c r="D597" s="1">
        <v>6</v>
      </c>
      <c r="E597" s="1">
        <v>3</v>
      </c>
      <c r="F597" s="1">
        <v>3</v>
      </c>
      <c r="G597" s="1">
        <v>6</v>
      </c>
      <c r="H597" s="1">
        <v>0</v>
      </c>
      <c r="I597" s="1">
        <f t="shared" si="80"/>
        <v>6</v>
      </c>
      <c r="J597" s="1">
        <f>_xlfn.XLOOKUP(A597,'[1]Point of Sale Analysis'!$A:$A,'[1]Point of Sale Analysis'!$B:$B,"not found",0)</f>
        <v>2</v>
      </c>
      <c r="K597" s="1">
        <f t="shared" si="83"/>
        <v>4</v>
      </c>
    </row>
    <row r="598" spans="1:11" x14ac:dyDescent="0.3">
      <c r="A598" s="1" t="s">
        <v>604</v>
      </c>
      <c r="B598" s="1">
        <v>4</v>
      </c>
      <c r="C598" s="1"/>
      <c r="D598" s="1"/>
      <c r="E598" s="1">
        <v>2</v>
      </c>
      <c r="F598" s="1">
        <v>5</v>
      </c>
      <c r="G598" s="1">
        <v>2</v>
      </c>
      <c r="H598" s="1">
        <v>1</v>
      </c>
      <c r="I598" s="1">
        <f t="shared" si="80"/>
        <v>3</v>
      </c>
      <c r="J598" s="1">
        <f>_xlfn.XLOOKUP(A598,'[1]Point of Sale Analysis'!$A:$A,'[1]Point of Sale Analysis'!$B:$B,"not found",0)</f>
        <v>2</v>
      </c>
      <c r="K598" s="1">
        <f t="shared" si="83"/>
        <v>1</v>
      </c>
    </row>
    <row r="599" spans="1:11" x14ac:dyDescent="0.3">
      <c r="A599" s="1" t="s">
        <v>605</v>
      </c>
      <c r="B599" s="1">
        <v>3</v>
      </c>
      <c r="C599" s="1"/>
      <c r="D599" s="1">
        <v>1</v>
      </c>
      <c r="E599" s="1"/>
      <c r="F599" s="1">
        <v>10</v>
      </c>
      <c r="G599" s="1">
        <v>4</v>
      </c>
      <c r="H599" s="1">
        <v>0</v>
      </c>
      <c r="I599" s="1">
        <f t="shared" si="80"/>
        <v>4</v>
      </c>
      <c r="J599" s="1">
        <f>_xlfn.XLOOKUP(A599,'[1]Point of Sale Analysis'!$A:$A,'[1]Point of Sale Analysis'!$B:$B,"not found",0)</f>
        <v>1</v>
      </c>
      <c r="K599" s="1">
        <f t="shared" si="83"/>
        <v>3</v>
      </c>
    </row>
    <row r="600" spans="1:11" x14ac:dyDescent="0.3">
      <c r="A600" s="1" t="s">
        <v>606</v>
      </c>
      <c r="B600" s="1">
        <v>2</v>
      </c>
      <c r="C600" s="1">
        <v>1</v>
      </c>
      <c r="D600" s="1">
        <v>5</v>
      </c>
      <c r="E600" s="1">
        <v>3</v>
      </c>
      <c r="F600" s="1">
        <v>13</v>
      </c>
      <c r="G600" s="1">
        <v>5</v>
      </c>
      <c r="H600" s="1">
        <v>0</v>
      </c>
      <c r="I600" s="1">
        <f t="shared" si="80"/>
        <v>5</v>
      </c>
      <c r="J600" s="1">
        <f>_xlfn.XLOOKUP(A600,'[1]Point of Sale Analysis'!$A:$A,'[1]Point of Sale Analysis'!$B:$B,"not found",0)</f>
        <v>2</v>
      </c>
      <c r="K600" s="1">
        <f t="shared" si="83"/>
        <v>3</v>
      </c>
    </row>
    <row r="601" spans="1:11" hidden="1" x14ac:dyDescent="0.3">
      <c r="A601" t="s">
        <v>607</v>
      </c>
      <c r="B601">
        <v>1</v>
      </c>
      <c r="F601">
        <v>3</v>
      </c>
      <c r="G601">
        <v>0</v>
      </c>
      <c r="H601">
        <v>1</v>
      </c>
      <c r="I601">
        <f t="shared" si="80"/>
        <v>1</v>
      </c>
      <c r="J601" t="str">
        <f>_xlfn.XLOOKUP(A601,'[1]Point of Sale Analysis'!$A:$A,'[1]Point of Sale Analysis'!$B:$B,"not found",0)</f>
        <v>not found</v>
      </c>
    </row>
    <row r="602" spans="1:11" x14ac:dyDescent="0.3">
      <c r="A602" s="1" t="s">
        <v>608</v>
      </c>
      <c r="B602" s="1">
        <v>1</v>
      </c>
      <c r="C602" s="1"/>
      <c r="D602" s="1">
        <v>1</v>
      </c>
      <c r="E602" s="1">
        <v>1</v>
      </c>
      <c r="F602" s="1">
        <v>11</v>
      </c>
      <c r="G602" s="1">
        <v>4</v>
      </c>
      <c r="H602" s="1">
        <v>0</v>
      </c>
      <c r="I602" s="1">
        <f t="shared" si="80"/>
        <v>4</v>
      </c>
      <c r="J602" s="1">
        <f>_xlfn.XLOOKUP(A602,'[1]Point of Sale Analysis'!$A:$A,'[1]Point of Sale Analysis'!$B:$B,"not found",0)</f>
        <v>2</v>
      </c>
      <c r="K602" s="1">
        <f>ABS(J602-I602)</f>
        <v>2</v>
      </c>
    </row>
    <row r="603" spans="1:11" hidden="1" x14ac:dyDescent="0.3">
      <c r="A603" t="s">
        <v>609</v>
      </c>
      <c r="B603">
        <v>1</v>
      </c>
      <c r="C603">
        <v>1</v>
      </c>
      <c r="F603">
        <v>0</v>
      </c>
      <c r="G603">
        <v>0</v>
      </c>
      <c r="H603">
        <v>1</v>
      </c>
      <c r="I603">
        <f t="shared" si="80"/>
        <v>1</v>
      </c>
      <c r="J603" t="str">
        <f>_xlfn.XLOOKUP(A603,'[1]Point of Sale Analysis'!$A:$A,'[1]Point of Sale Analysis'!$B:$B,"not found",0)</f>
        <v>not found</v>
      </c>
    </row>
    <row r="604" spans="1:11" hidden="1" x14ac:dyDescent="0.3">
      <c r="A604" t="s">
        <v>610</v>
      </c>
      <c r="C604">
        <v>1</v>
      </c>
      <c r="F604">
        <v>0</v>
      </c>
      <c r="G604">
        <v>3</v>
      </c>
      <c r="H604">
        <v>0</v>
      </c>
      <c r="I604">
        <f t="shared" si="80"/>
        <v>3</v>
      </c>
      <c r="J604" t="str">
        <f>_xlfn.XLOOKUP(A604,'[1]Point of Sale Analysis'!$A:$A,'[1]Point of Sale Analysis'!$B:$B,"not found",0)</f>
        <v>not found</v>
      </c>
    </row>
    <row r="605" spans="1:11" hidden="1" x14ac:dyDescent="0.3">
      <c r="A605" t="s">
        <v>611</v>
      </c>
      <c r="B605">
        <v>1</v>
      </c>
      <c r="D605">
        <v>1</v>
      </c>
      <c r="E605">
        <v>2</v>
      </c>
      <c r="F605">
        <v>2</v>
      </c>
      <c r="G605">
        <v>0</v>
      </c>
      <c r="H605">
        <v>1</v>
      </c>
      <c r="I605">
        <f t="shared" si="80"/>
        <v>1</v>
      </c>
      <c r="J605" t="str">
        <f>_xlfn.XLOOKUP(A605,'[1]Point of Sale Analysis'!$A:$A,'[1]Point of Sale Analysis'!$B:$B,"not found",0)</f>
        <v>not found</v>
      </c>
    </row>
    <row r="606" spans="1:11" x14ac:dyDescent="0.3">
      <c r="A606" s="1" t="s">
        <v>612</v>
      </c>
      <c r="B606" s="1">
        <v>1</v>
      </c>
      <c r="C606" s="1">
        <v>1</v>
      </c>
      <c r="D606" s="1">
        <v>1</v>
      </c>
      <c r="E606" s="1">
        <v>1</v>
      </c>
      <c r="F606" s="1">
        <v>0</v>
      </c>
      <c r="G606" s="1">
        <v>0</v>
      </c>
      <c r="H606" s="1">
        <v>1</v>
      </c>
      <c r="I606" s="1">
        <f t="shared" si="80"/>
        <v>1</v>
      </c>
      <c r="J606" s="1">
        <f>_xlfn.XLOOKUP(A606,'[1]Point of Sale Analysis'!$A:$A,'[1]Point of Sale Analysis'!$B:$B,"not found",0)</f>
        <v>2</v>
      </c>
      <c r="K606" s="1">
        <f t="shared" ref="K606:K607" si="84">ABS(J606-I606)</f>
        <v>1</v>
      </c>
    </row>
    <row r="607" spans="1:11" x14ac:dyDescent="0.3">
      <c r="A607" s="1" t="s">
        <v>613</v>
      </c>
      <c r="B607" s="1">
        <v>2</v>
      </c>
      <c r="C607" s="1">
        <v>1</v>
      </c>
      <c r="D607" s="1">
        <v>1</v>
      </c>
      <c r="E607" s="1">
        <v>2</v>
      </c>
      <c r="F607" s="1">
        <v>19</v>
      </c>
      <c r="G607" s="1">
        <v>7</v>
      </c>
      <c r="H607" s="1">
        <v>0</v>
      </c>
      <c r="I607" s="1">
        <f t="shared" si="80"/>
        <v>7</v>
      </c>
      <c r="J607" s="1">
        <f>_xlfn.XLOOKUP(A607,'[1]Point of Sale Analysis'!$A:$A,'[1]Point of Sale Analysis'!$B:$B,"not found",0)</f>
        <v>2</v>
      </c>
      <c r="K607" s="1">
        <f t="shared" si="84"/>
        <v>5</v>
      </c>
    </row>
    <row r="608" spans="1:11" hidden="1" x14ac:dyDescent="0.3">
      <c r="A608" t="s">
        <v>614</v>
      </c>
      <c r="B608">
        <v>1</v>
      </c>
      <c r="F608">
        <v>9</v>
      </c>
      <c r="G608">
        <v>0</v>
      </c>
      <c r="H608">
        <v>1</v>
      </c>
      <c r="I608">
        <f t="shared" si="80"/>
        <v>1</v>
      </c>
      <c r="J608" t="str">
        <f>_xlfn.XLOOKUP(A608,'[1]Point of Sale Analysis'!$A:$A,'[1]Point of Sale Analysis'!$B:$B,"not found",0)</f>
        <v>not found</v>
      </c>
    </row>
    <row r="609" spans="1:11" x14ac:dyDescent="0.3">
      <c r="A609" s="1" t="s">
        <v>615</v>
      </c>
      <c r="B609" s="1"/>
      <c r="C609" s="1">
        <v>1</v>
      </c>
      <c r="D609" s="1"/>
      <c r="E609" s="1">
        <v>1</v>
      </c>
      <c r="F609" s="1">
        <v>0</v>
      </c>
      <c r="G609" s="1">
        <v>1</v>
      </c>
      <c r="H609" s="1">
        <v>0</v>
      </c>
      <c r="I609" s="1">
        <f t="shared" si="80"/>
        <v>1</v>
      </c>
      <c r="J609" s="1">
        <f>_xlfn.XLOOKUP(A609,'[1]Point of Sale Analysis'!$A:$A,'[1]Point of Sale Analysis'!$B:$B,"not found",0)</f>
        <v>1</v>
      </c>
      <c r="K609" s="1">
        <f t="shared" ref="K609:K610" si="85">ABS(J609-I609)</f>
        <v>0</v>
      </c>
    </row>
    <row r="610" spans="1:11" x14ac:dyDescent="0.3">
      <c r="A610" s="1" t="s">
        <v>616</v>
      </c>
      <c r="B610" s="1">
        <v>7</v>
      </c>
      <c r="C610" s="1">
        <v>4</v>
      </c>
      <c r="D610" s="1">
        <v>3</v>
      </c>
      <c r="E610" s="1">
        <v>2</v>
      </c>
      <c r="F610" s="1">
        <v>39</v>
      </c>
      <c r="G610" s="1">
        <v>6</v>
      </c>
      <c r="H610" s="1">
        <v>0</v>
      </c>
      <c r="I610" s="1">
        <f t="shared" si="80"/>
        <v>6</v>
      </c>
      <c r="J610" s="1">
        <f>_xlfn.XLOOKUP(A610,'[1]Point of Sale Analysis'!$A:$A,'[1]Point of Sale Analysis'!$B:$B,"not found",0)</f>
        <v>1</v>
      </c>
      <c r="K610" s="1">
        <f t="shared" si="85"/>
        <v>5</v>
      </c>
    </row>
    <row r="611" spans="1:11" hidden="1" x14ac:dyDescent="0.3">
      <c r="A611" t="s">
        <v>617</v>
      </c>
      <c r="B611">
        <v>3</v>
      </c>
      <c r="F611">
        <v>0</v>
      </c>
      <c r="G611">
        <v>0</v>
      </c>
      <c r="H611">
        <v>3</v>
      </c>
      <c r="I611">
        <f t="shared" si="80"/>
        <v>3</v>
      </c>
      <c r="J611" t="str">
        <f>_xlfn.XLOOKUP(A611,'[1]Point of Sale Analysis'!$A:$A,'[1]Point of Sale Analysis'!$B:$B,"not found",0)</f>
        <v>not found</v>
      </c>
    </row>
    <row r="612" spans="1:11" x14ac:dyDescent="0.3">
      <c r="A612" s="1" t="s">
        <v>618</v>
      </c>
      <c r="B612" s="1"/>
      <c r="C612" s="1"/>
      <c r="D612" s="1">
        <v>5</v>
      </c>
      <c r="E612" s="1">
        <v>13</v>
      </c>
      <c r="F612" s="1">
        <v>2</v>
      </c>
      <c r="G612" s="1">
        <v>0</v>
      </c>
      <c r="H612" s="1">
        <v>9</v>
      </c>
      <c r="I612" s="1">
        <f t="shared" si="80"/>
        <v>9</v>
      </c>
      <c r="J612" s="1">
        <f>_xlfn.XLOOKUP(A612,'[1]Point of Sale Analysis'!$A:$A,'[1]Point of Sale Analysis'!$B:$B,"not found",0)</f>
        <v>7</v>
      </c>
      <c r="K612" s="1">
        <f t="shared" ref="K612:K614" si="86">ABS(J612-I612)</f>
        <v>2</v>
      </c>
    </row>
    <row r="613" spans="1:11" x14ac:dyDescent="0.3">
      <c r="A613" s="1" t="s">
        <v>619</v>
      </c>
      <c r="B613" s="1">
        <v>2</v>
      </c>
      <c r="C613" s="1">
        <v>2</v>
      </c>
      <c r="D613" s="1">
        <v>1</v>
      </c>
      <c r="E613" s="1">
        <v>1</v>
      </c>
      <c r="F613" s="1">
        <v>0</v>
      </c>
      <c r="G613" s="1">
        <v>0</v>
      </c>
      <c r="H613" s="1">
        <v>1</v>
      </c>
      <c r="I613" s="1">
        <f t="shared" si="80"/>
        <v>1</v>
      </c>
      <c r="J613" s="1">
        <f>_xlfn.XLOOKUP(A613,'[1]Point of Sale Analysis'!$A:$A,'[1]Point of Sale Analysis'!$B:$B,"not found",0)</f>
        <v>3</v>
      </c>
      <c r="K613" s="1">
        <f t="shared" si="86"/>
        <v>2</v>
      </c>
    </row>
    <row r="614" spans="1:11" x14ac:dyDescent="0.3">
      <c r="A614" s="1" t="s">
        <v>620</v>
      </c>
      <c r="B614" s="1"/>
      <c r="C614" s="1">
        <v>1</v>
      </c>
      <c r="D614" s="1"/>
      <c r="E614" s="1"/>
      <c r="F614" s="1">
        <v>0</v>
      </c>
      <c r="G614" s="1">
        <v>2</v>
      </c>
      <c r="H614" s="1">
        <v>0</v>
      </c>
      <c r="I614" s="1">
        <f t="shared" si="80"/>
        <v>2</v>
      </c>
      <c r="J614" s="1">
        <f>_xlfn.XLOOKUP(A614,'[1]Point of Sale Analysis'!$A:$A,'[1]Point of Sale Analysis'!$B:$B,"not found",0)</f>
        <v>1</v>
      </c>
      <c r="K614" s="1">
        <f t="shared" si="86"/>
        <v>1</v>
      </c>
    </row>
    <row r="615" spans="1:11" hidden="1" x14ac:dyDescent="0.3">
      <c r="A615" t="s">
        <v>621</v>
      </c>
      <c r="B615">
        <v>6</v>
      </c>
      <c r="F615">
        <v>0</v>
      </c>
      <c r="G615">
        <v>0</v>
      </c>
      <c r="H615">
        <v>6</v>
      </c>
      <c r="I615">
        <f t="shared" si="80"/>
        <v>6</v>
      </c>
      <c r="J615" t="str">
        <f>_xlfn.XLOOKUP(A615,'[1]Point of Sale Analysis'!$A:$A,'[1]Point of Sale Analysis'!$B:$B,"not found",0)</f>
        <v>not found</v>
      </c>
    </row>
    <row r="616" spans="1:11" hidden="1" x14ac:dyDescent="0.3">
      <c r="A616" t="s">
        <v>622</v>
      </c>
      <c r="E616">
        <v>1</v>
      </c>
      <c r="F616">
        <v>20</v>
      </c>
      <c r="G616">
        <v>4</v>
      </c>
      <c r="H616">
        <v>0</v>
      </c>
      <c r="I616">
        <f t="shared" si="80"/>
        <v>4</v>
      </c>
      <c r="J616" t="str">
        <f>_xlfn.XLOOKUP(A616,'[1]Point of Sale Analysis'!$A:$A,'[1]Point of Sale Analysis'!$B:$B,"not found",0)</f>
        <v>not found</v>
      </c>
    </row>
    <row r="617" spans="1:11" hidden="1" x14ac:dyDescent="0.3">
      <c r="A617" t="s">
        <v>623</v>
      </c>
      <c r="E617">
        <v>1</v>
      </c>
      <c r="F617">
        <v>5</v>
      </c>
      <c r="G617">
        <v>3</v>
      </c>
      <c r="H617">
        <v>0</v>
      </c>
      <c r="I617">
        <f t="shared" si="80"/>
        <v>3</v>
      </c>
      <c r="J617" t="str">
        <f>_xlfn.XLOOKUP(A617,'[1]Point of Sale Analysis'!$A:$A,'[1]Point of Sale Analysis'!$B:$B,"not found",0)</f>
        <v>not found</v>
      </c>
    </row>
    <row r="618" spans="1:11" x14ac:dyDescent="0.3">
      <c r="A618" s="1" t="s">
        <v>624</v>
      </c>
      <c r="B618" s="1">
        <v>6</v>
      </c>
      <c r="C618" s="1">
        <v>3</v>
      </c>
      <c r="D618" s="1">
        <v>1</v>
      </c>
      <c r="E618" s="1">
        <v>1</v>
      </c>
      <c r="F618" s="1">
        <v>0</v>
      </c>
      <c r="G618" s="1">
        <v>1</v>
      </c>
      <c r="H618" s="1">
        <v>1</v>
      </c>
      <c r="I618" s="1">
        <f t="shared" si="80"/>
        <v>2</v>
      </c>
      <c r="J618" s="1">
        <f>_xlfn.XLOOKUP(A618,'[1]Point of Sale Analysis'!$A:$A,'[1]Point of Sale Analysis'!$B:$B,"not found",0)</f>
        <v>5</v>
      </c>
      <c r="K618" s="1">
        <f t="shared" ref="K618:K621" si="87">ABS(J618-I618)</f>
        <v>3</v>
      </c>
    </row>
    <row r="619" spans="1:11" x14ac:dyDescent="0.3">
      <c r="A619" s="1" t="s">
        <v>625</v>
      </c>
      <c r="B619" s="1">
        <v>3</v>
      </c>
      <c r="C619" s="1">
        <v>4</v>
      </c>
      <c r="D619" s="1"/>
      <c r="E619" s="1"/>
      <c r="F619" s="1">
        <v>8</v>
      </c>
      <c r="G619" s="1">
        <v>3</v>
      </c>
      <c r="H619" s="1">
        <v>0</v>
      </c>
      <c r="I619" s="1">
        <f t="shared" si="80"/>
        <v>3</v>
      </c>
      <c r="J619" s="1">
        <f>_xlfn.XLOOKUP(A619,'[1]Point of Sale Analysis'!$A:$A,'[1]Point of Sale Analysis'!$B:$B,"not found",0)</f>
        <v>1</v>
      </c>
      <c r="K619" s="1">
        <f t="shared" si="87"/>
        <v>2</v>
      </c>
    </row>
    <row r="620" spans="1:11" x14ac:dyDescent="0.3">
      <c r="A620" s="1" t="s">
        <v>626</v>
      </c>
      <c r="B620" s="1">
        <v>19</v>
      </c>
      <c r="C620" s="1">
        <v>13</v>
      </c>
      <c r="D620" s="1">
        <v>8</v>
      </c>
      <c r="E620" s="1">
        <v>5</v>
      </c>
      <c r="F620" s="1">
        <v>5</v>
      </c>
      <c r="G620" s="1">
        <v>10</v>
      </c>
      <c r="H620" s="1">
        <v>0</v>
      </c>
      <c r="I620" s="1">
        <f t="shared" si="80"/>
        <v>10</v>
      </c>
      <c r="J620" s="1">
        <f>_xlfn.XLOOKUP(A620,'[1]Point of Sale Analysis'!$A:$A,'[1]Point of Sale Analysis'!$B:$B,"not found",0)</f>
        <v>8</v>
      </c>
      <c r="K620" s="1">
        <f t="shared" si="87"/>
        <v>2</v>
      </c>
    </row>
    <row r="621" spans="1:11" x14ac:dyDescent="0.3">
      <c r="A621" s="1" t="s">
        <v>627</v>
      </c>
      <c r="B621" s="1">
        <v>9</v>
      </c>
      <c r="C621" s="1">
        <v>2</v>
      </c>
      <c r="D621" s="1">
        <v>8</v>
      </c>
      <c r="E621" s="1">
        <v>2</v>
      </c>
      <c r="F621" s="1">
        <v>8</v>
      </c>
      <c r="G621" s="1">
        <v>7</v>
      </c>
      <c r="H621" s="1">
        <v>0</v>
      </c>
      <c r="I621" s="1">
        <f t="shared" si="80"/>
        <v>7</v>
      </c>
      <c r="J621" s="1">
        <f>_xlfn.XLOOKUP(A621,'[1]Point of Sale Analysis'!$A:$A,'[1]Point of Sale Analysis'!$B:$B,"not found",0)</f>
        <v>3</v>
      </c>
      <c r="K621" s="1">
        <f t="shared" si="87"/>
        <v>4</v>
      </c>
    </row>
    <row r="622" spans="1:11" hidden="1" x14ac:dyDescent="0.3">
      <c r="A622" t="s">
        <v>628</v>
      </c>
      <c r="D622">
        <v>1</v>
      </c>
      <c r="F622">
        <v>6</v>
      </c>
      <c r="G622">
        <v>3</v>
      </c>
      <c r="H622">
        <v>0</v>
      </c>
      <c r="I622">
        <f t="shared" si="80"/>
        <v>3</v>
      </c>
      <c r="J622" t="str">
        <f>_xlfn.XLOOKUP(A622,'[1]Point of Sale Analysis'!$A:$A,'[1]Point of Sale Analysis'!$B:$B,"not found",0)</f>
        <v>not found</v>
      </c>
    </row>
    <row r="623" spans="1:11" hidden="1" x14ac:dyDescent="0.3">
      <c r="A623" t="s">
        <v>629</v>
      </c>
      <c r="B623">
        <v>1</v>
      </c>
      <c r="F623">
        <v>5</v>
      </c>
      <c r="G623">
        <v>1</v>
      </c>
      <c r="H623">
        <v>0</v>
      </c>
      <c r="I623">
        <f t="shared" si="80"/>
        <v>1</v>
      </c>
      <c r="J623" t="str">
        <f>_xlfn.XLOOKUP(A623,'[1]Point of Sale Analysis'!$A:$A,'[1]Point of Sale Analysis'!$B:$B,"not found",0)</f>
        <v>not found</v>
      </c>
    </row>
    <row r="624" spans="1:11" x14ac:dyDescent="0.3">
      <c r="A624" s="1" t="s">
        <v>630</v>
      </c>
      <c r="B624" s="1">
        <v>2</v>
      </c>
      <c r="C624" s="1">
        <v>1</v>
      </c>
      <c r="D624" s="1"/>
      <c r="E624" s="1">
        <v>1</v>
      </c>
      <c r="F624" s="1">
        <v>0</v>
      </c>
      <c r="G624" s="1">
        <v>2</v>
      </c>
      <c r="H624" s="1">
        <v>0</v>
      </c>
      <c r="I624" s="1">
        <f t="shared" si="80"/>
        <v>2</v>
      </c>
      <c r="J624" s="1">
        <f>_xlfn.XLOOKUP(A624,'[1]Point of Sale Analysis'!$A:$A,'[1]Point of Sale Analysis'!$B:$B,"not found",0)</f>
        <v>2</v>
      </c>
      <c r="K624" s="1">
        <f>ABS(J624-I624)</f>
        <v>0</v>
      </c>
    </row>
    <row r="625" spans="1:11" hidden="1" x14ac:dyDescent="0.3">
      <c r="A625" t="s">
        <v>631</v>
      </c>
      <c r="B625">
        <v>1</v>
      </c>
      <c r="C625">
        <v>2</v>
      </c>
      <c r="D625">
        <v>1</v>
      </c>
      <c r="E625">
        <v>2</v>
      </c>
      <c r="F625">
        <v>15</v>
      </c>
      <c r="G625">
        <v>4</v>
      </c>
      <c r="H625">
        <v>0</v>
      </c>
      <c r="I625">
        <f t="shared" si="80"/>
        <v>4</v>
      </c>
      <c r="J625" t="str">
        <f>_xlfn.XLOOKUP(A625,'[1]Point of Sale Analysis'!$A:$A,'[1]Point of Sale Analysis'!$B:$B,"not found",0)</f>
        <v>not found</v>
      </c>
    </row>
    <row r="626" spans="1:11" hidden="1" x14ac:dyDescent="0.3">
      <c r="A626" t="s">
        <v>632</v>
      </c>
      <c r="C626">
        <v>1</v>
      </c>
      <c r="F626">
        <v>5</v>
      </c>
      <c r="G626">
        <v>2</v>
      </c>
      <c r="H626">
        <v>0</v>
      </c>
      <c r="I626">
        <f t="shared" si="80"/>
        <v>2</v>
      </c>
      <c r="J626" t="str">
        <f>_xlfn.XLOOKUP(A626,'[1]Point of Sale Analysis'!$A:$A,'[1]Point of Sale Analysis'!$B:$B,"not found",0)</f>
        <v>not found</v>
      </c>
    </row>
    <row r="627" spans="1:11" x14ac:dyDescent="0.3">
      <c r="A627" s="1" t="s">
        <v>633</v>
      </c>
      <c r="B627" s="1">
        <v>8</v>
      </c>
      <c r="C627" s="1">
        <v>16</v>
      </c>
      <c r="D627" s="1">
        <v>10</v>
      </c>
      <c r="E627" s="1">
        <v>4</v>
      </c>
      <c r="F627" s="1">
        <v>51</v>
      </c>
      <c r="G627" s="1">
        <v>4</v>
      </c>
      <c r="H627" s="1">
        <v>5</v>
      </c>
      <c r="I627" s="1">
        <f t="shared" si="80"/>
        <v>9</v>
      </c>
      <c r="J627" s="1">
        <f>_xlfn.XLOOKUP(A627,'[1]Point of Sale Analysis'!$A:$A,'[1]Point of Sale Analysis'!$B:$B,"not found",0)</f>
        <v>7</v>
      </c>
      <c r="K627" s="1">
        <f t="shared" ref="K627:K628" si="88">ABS(J627-I627)</f>
        <v>2</v>
      </c>
    </row>
    <row r="628" spans="1:11" x14ac:dyDescent="0.3">
      <c r="A628" s="1" t="s">
        <v>634</v>
      </c>
      <c r="B628" s="1">
        <v>2</v>
      </c>
      <c r="C628" s="1">
        <v>5</v>
      </c>
      <c r="D628" s="1">
        <v>3</v>
      </c>
      <c r="E628" s="1">
        <v>1</v>
      </c>
      <c r="F628" s="1">
        <v>23</v>
      </c>
      <c r="G628" s="1">
        <v>5</v>
      </c>
      <c r="H628" s="1">
        <v>0</v>
      </c>
      <c r="I628" s="1">
        <f t="shared" si="80"/>
        <v>5</v>
      </c>
      <c r="J628" s="1">
        <f>_xlfn.XLOOKUP(A628,'[1]Point of Sale Analysis'!$A:$A,'[1]Point of Sale Analysis'!$B:$B,"not found",0)</f>
        <v>2</v>
      </c>
      <c r="K628" s="1">
        <f t="shared" si="88"/>
        <v>3</v>
      </c>
    </row>
    <row r="629" spans="1:11" hidden="1" x14ac:dyDescent="0.3">
      <c r="A629" t="s">
        <v>635</v>
      </c>
      <c r="B629">
        <v>1</v>
      </c>
      <c r="F629">
        <v>14</v>
      </c>
      <c r="G629">
        <v>0</v>
      </c>
      <c r="H629">
        <v>1</v>
      </c>
      <c r="I629">
        <f t="shared" si="80"/>
        <v>1</v>
      </c>
      <c r="J629" t="str">
        <f>_xlfn.XLOOKUP(A629,'[1]Point of Sale Analysis'!$A:$A,'[1]Point of Sale Analysis'!$B:$B,"not found",0)</f>
        <v>not found</v>
      </c>
    </row>
    <row r="630" spans="1:11" hidden="1" x14ac:dyDescent="0.3">
      <c r="A630" t="s">
        <v>636</v>
      </c>
      <c r="B630">
        <v>6</v>
      </c>
      <c r="F630">
        <v>0</v>
      </c>
      <c r="G630">
        <v>0</v>
      </c>
      <c r="H630">
        <v>6</v>
      </c>
      <c r="I630">
        <f t="shared" si="80"/>
        <v>6</v>
      </c>
      <c r="J630" t="str">
        <f>_xlfn.XLOOKUP(A630,'[1]Point of Sale Analysis'!$A:$A,'[1]Point of Sale Analysis'!$B:$B,"not found",0)</f>
        <v>not found</v>
      </c>
    </row>
    <row r="631" spans="1:11" x14ac:dyDescent="0.3">
      <c r="A631" s="1" t="s">
        <v>637</v>
      </c>
      <c r="B631" s="1">
        <v>2</v>
      </c>
      <c r="C631" s="1">
        <v>3</v>
      </c>
      <c r="D631" s="1"/>
      <c r="E631" s="1">
        <v>1</v>
      </c>
      <c r="F631" s="1">
        <v>0</v>
      </c>
      <c r="G631" s="1">
        <v>0</v>
      </c>
      <c r="H631" s="1">
        <v>2</v>
      </c>
      <c r="I631" s="1">
        <f t="shared" si="80"/>
        <v>2</v>
      </c>
      <c r="J631" s="1">
        <f>_xlfn.XLOOKUP(A631,'[1]Point of Sale Analysis'!$A:$A,'[1]Point of Sale Analysis'!$B:$B,"not found",0)</f>
        <v>1</v>
      </c>
      <c r="K631" s="1">
        <f>ABS(J631-I631)</f>
        <v>1</v>
      </c>
    </row>
    <row r="632" spans="1:11" hidden="1" x14ac:dyDescent="0.3">
      <c r="A632" t="s">
        <v>638</v>
      </c>
      <c r="B632">
        <v>2</v>
      </c>
      <c r="D632">
        <v>1</v>
      </c>
      <c r="E632">
        <v>1</v>
      </c>
      <c r="F632">
        <v>3</v>
      </c>
      <c r="G632">
        <v>3</v>
      </c>
      <c r="H632">
        <v>0</v>
      </c>
      <c r="I632">
        <f t="shared" si="80"/>
        <v>3</v>
      </c>
      <c r="J632" t="str">
        <f>_xlfn.XLOOKUP(A632,'[1]Point of Sale Analysis'!$A:$A,'[1]Point of Sale Analysis'!$B:$B,"not found",0)</f>
        <v>not found</v>
      </c>
    </row>
    <row r="633" spans="1:11" x14ac:dyDescent="0.3">
      <c r="A633" s="1" t="s">
        <v>639</v>
      </c>
      <c r="B633" s="1">
        <v>4</v>
      </c>
      <c r="C633" s="1">
        <v>2</v>
      </c>
      <c r="D633" s="1">
        <v>8</v>
      </c>
      <c r="E633" s="1">
        <v>2</v>
      </c>
      <c r="F633" s="1">
        <v>20</v>
      </c>
      <c r="G633" s="1">
        <v>5</v>
      </c>
      <c r="H633" s="1">
        <v>0</v>
      </c>
      <c r="I633" s="1">
        <f t="shared" si="80"/>
        <v>5</v>
      </c>
      <c r="J633" s="1">
        <f>_xlfn.XLOOKUP(A633,'[1]Point of Sale Analysis'!$A:$A,'[1]Point of Sale Analysis'!$B:$B,"not found",0)</f>
        <v>7</v>
      </c>
      <c r="K633" s="1">
        <f t="shared" ref="K633:K634" si="89">ABS(J633-I633)</f>
        <v>2</v>
      </c>
    </row>
    <row r="634" spans="1:11" x14ac:dyDescent="0.3">
      <c r="A634" s="1" t="s">
        <v>640</v>
      </c>
      <c r="B634" s="1">
        <v>16</v>
      </c>
      <c r="C634" s="1">
        <v>12</v>
      </c>
      <c r="D634" s="1">
        <v>19</v>
      </c>
      <c r="E634" s="1">
        <v>11</v>
      </c>
      <c r="F634" s="1">
        <v>99</v>
      </c>
      <c r="G634" s="1">
        <v>15</v>
      </c>
      <c r="H634" s="1">
        <v>0</v>
      </c>
      <c r="I634" s="1">
        <f t="shared" si="80"/>
        <v>15</v>
      </c>
      <c r="J634" s="1">
        <f>_xlfn.XLOOKUP(A634,'[1]Point of Sale Analysis'!$A:$A,'[1]Point of Sale Analysis'!$B:$B,"not found",0)</f>
        <v>11</v>
      </c>
      <c r="K634" s="1">
        <f t="shared" si="89"/>
        <v>4</v>
      </c>
    </row>
    <row r="635" spans="1:11" hidden="1" x14ac:dyDescent="0.3">
      <c r="A635" t="s">
        <v>641</v>
      </c>
      <c r="B635">
        <v>6</v>
      </c>
      <c r="D635">
        <v>1</v>
      </c>
      <c r="F635">
        <v>16</v>
      </c>
      <c r="G635">
        <v>4</v>
      </c>
      <c r="H635">
        <v>0</v>
      </c>
      <c r="I635">
        <f t="shared" si="80"/>
        <v>4</v>
      </c>
      <c r="J635" t="str">
        <f>_xlfn.XLOOKUP(A635,'[1]Point of Sale Analysis'!$A:$A,'[1]Point of Sale Analysis'!$B:$B,"not found",0)</f>
        <v>not found</v>
      </c>
    </row>
    <row r="636" spans="1:11" x14ac:dyDescent="0.3">
      <c r="A636" s="1" t="s">
        <v>642</v>
      </c>
      <c r="B636" s="1">
        <v>7</v>
      </c>
      <c r="C636" s="1">
        <v>3</v>
      </c>
      <c r="D636" s="1">
        <v>2</v>
      </c>
      <c r="E636" s="1">
        <v>7</v>
      </c>
      <c r="F636" s="1">
        <v>2</v>
      </c>
      <c r="G636" s="1">
        <v>4</v>
      </c>
      <c r="H636" s="1">
        <v>1</v>
      </c>
      <c r="I636" s="1">
        <f t="shared" si="80"/>
        <v>5</v>
      </c>
      <c r="J636" s="1">
        <f>_xlfn.XLOOKUP(A636,'[1]Point of Sale Analysis'!$A:$A,'[1]Point of Sale Analysis'!$B:$B,"not found",0)</f>
        <v>4</v>
      </c>
      <c r="K636" s="1">
        <f t="shared" ref="K636:K637" si="90">ABS(J636-I636)</f>
        <v>1</v>
      </c>
    </row>
    <row r="637" spans="1:11" x14ac:dyDescent="0.3">
      <c r="A637" s="1" t="s">
        <v>643</v>
      </c>
      <c r="B637" s="1">
        <v>2</v>
      </c>
      <c r="C637" s="1"/>
      <c r="D637" s="1"/>
      <c r="E637" s="1">
        <v>1</v>
      </c>
      <c r="F637" s="1">
        <v>14</v>
      </c>
      <c r="G637" s="1">
        <v>3</v>
      </c>
      <c r="H637" s="1">
        <v>0</v>
      </c>
      <c r="I637" s="1">
        <f t="shared" si="80"/>
        <v>3</v>
      </c>
      <c r="J637" s="1">
        <f>_xlfn.XLOOKUP(A637,'[1]Point of Sale Analysis'!$A:$A,'[1]Point of Sale Analysis'!$B:$B,"not found",0)</f>
        <v>1</v>
      </c>
      <c r="K637" s="1">
        <f t="shared" si="90"/>
        <v>2</v>
      </c>
    </row>
    <row r="638" spans="1:11" hidden="1" x14ac:dyDescent="0.3">
      <c r="A638" t="s">
        <v>644</v>
      </c>
      <c r="B638">
        <v>13</v>
      </c>
      <c r="C638">
        <v>8</v>
      </c>
      <c r="D638">
        <v>20</v>
      </c>
      <c r="E638">
        <v>12</v>
      </c>
      <c r="F638">
        <v>5</v>
      </c>
      <c r="G638">
        <v>4</v>
      </c>
      <c r="H638">
        <v>8</v>
      </c>
      <c r="I638">
        <f t="shared" si="80"/>
        <v>12</v>
      </c>
      <c r="J638" t="str">
        <f>_xlfn.XLOOKUP(A638,'[1]Point of Sale Analysis'!$A:$A,'[1]Point of Sale Analysis'!$B:$B,"not found",0)</f>
        <v>not found</v>
      </c>
    </row>
    <row r="639" spans="1:11" x14ac:dyDescent="0.3">
      <c r="A639" s="1" t="s">
        <v>645</v>
      </c>
      <c r="B639" s="1">
        <v>2</v>
      </c>
      <c r="C639" s="1">
        <v>2</v>
      </c>
      <c r="D639" s="1">
        <v>3</v>
      </c>
      <c r="E639" s="1">
        <v>13</v>
      </c>
      <c r="F639" s="1">
        <v>15</v>
      </c>
      <c r="G639" s="1">
        <v>4</v>
      </c>
      <c r="H639" s="1">
        <v>0</v>
      </c>
      <c r="I639" s="1">
        <f t="shared" si="80"/>
        <v>4</v>
      </c>
      <c r="J639" s="1">
        <f>_xlfn.XLOOKUP(A639,'[1]Point of Sale Analysis'!$A:$A,'[1]Point of Sale Analysis'!$B:$B,"not found",0)</f>
        <v>2</v>
      </c>
      <c r="K639" s="1">
        <f t="shared" ref="K639:K641" si="91">ABS(J639-I639)</f>
        <v>2</v>
      </c>
    </row>
    <row r="640" spans="1:11" x14ac:dyDescent="0.3">
      <c r="A640" s="1" t="s">
        <v>646</v>
      </c>
      <c r="B640" s="1">
        <v>2</v>
      </c>
      <c r="C640" s="1">
        <v>4</v>
      </c>
      <c r="D640" s="1">
        <v>2</v>
      </c>
      <c r="E640" s="1">
        <v>1</v>
      </c>
      <c r="F640" s="1">
        <v>0</v>
      </c>
      <c r="G640" s="1">
        <v>2</v>
      </c>
      <c r="H640" s="1">
        <v>0</v>
      </c>
      <c r="I640" s="1">
        <f t="shared" si="80"/>
        <v>2</v>
      </c>
      <c r="J640" s="1">
        <f>_xlfn.XLOOKUP(A640,'[1]Point of Sale Analysis'!$A:$A,'[1]Point of Sale Analysis'!$B:$B,"not found",0)</f>
        <v>2</v>
      </c>
      <c r="K640" s="1">
        <f t="shared" si="91"/>
        <v>0</v>
      </c>
    </row>
    <row r="641" spans="1:11" x14ac:dyDescent="0.3">
      <c r="A641" s="1" t="s">
        <v>647</v>
      </c>
      <c r="B641" s="1"/>
      <c r="C641" s="1"/>
      <c r="D641" s="1"/>
      <c r="E641" s="1">
        <v>1</v>
      </c>
      <c r="F641" s="1">
        <v>1</v>
      </c>
      <c r="G641" s="1">
        <v>1</v>
      </c>
      <c r="H641" s="1">
        <v>0</v>
      </c>
      <c r="I641" s="1">
        <f t="shared" si="80"/>
        <v>1</v>
      </c>
      <c r="J641" s="1">
        <f>_xlfn.XLOOKUP(A641,'[1]Point of Sale Analysis'!$A:$A,'[1]Point of Sale Analysis'!$B:$B,"not found",0)</f>
        <v>1</v>
      </c>
      <c r="K641" s="1">
        <f t="shared" si="91"/>
        <v>0</v>
      </c>
    </row>
    <row r="642" spans="1:11" hidden="1" x14ac:dyDescent="0.3">
      <c r="A642" t="s">
        <v>648</v>
      </c>
      <c r="B642">
        <v>1</v>
      </c>
      <c r="C642">
        <v>1</v>
      </c>
      <c r="E642">
        <v>1</v>
      </c>
      <c r="F642">
        <v>7</v>
      </c>
      <c r="G642">
        <v>4</v>
      </c>
      <c r="H642">
        <v>0</v>
      </c>
      <c r="I642">
        <f t="shared" si="80"/>
        <v>4</v>
      </c>
      <c r="J642" t="str">
        <f>_xlfn.XLOOKUP(A642,'[1]Point of Sale Analysis'!$A:$A,'[1]Point of Sale Analysis'!$B:$B,"not found",0)</f>
        <v>not found</v>
      </c>
    </row>
    <row r="643" spans="1:11" hidden="1" x14ac:dyDescent="0.3">
      <c r="A643" t="s">
        <v>649</v>
      </c>
      <c r="B643">
        <v>9</v>
      </c>
      <c r="C643">
        <v>4</v>
      </c>
      <c r="D643">
        <v>1</v>
      </c>
      <c r="F643">
        <v>34</v>
      </c>
      <c r="G643">
        <v>7</v>
      </c>
      <c r="H643">
        <v>0</v>
      </c>
      <c r="I643">
        <f t="shared" ref="I643:I706" si="92">G643+H643</f>
        <v>7</v>
      </c>
      <c r="J643" t="str">
        <f>_xlfn.XLOOKUP(A643,'[1]Point of Sale Analysis'!$A:$A,'[1]Point of Sale Analysis'!$B:$B,"not found",0)</f>
        <v>not found</v>
      </c>
    </row>
    <row r="644" spans="1:11" hidden="1" x14ac:dyDescent="0.3">
      <c r="A644" t="s">
        <v>650</v>
      </c>
      <c r="E644">
        <v>2</v>
      </c>
      <c r="F644">
        <v>0</v>
      </c>
      <c r="G644">
        <v>0</v>
      </c>
      <c r="H644">
        <v>2</v>
      </c>
      <c r="I644">
        <f t="shared" si="92"/>
        <v>2</v>
      </c>
      <c r="J644" t="str">
        <f>_xlfn.XLOOKUP(A644,'[1]Point of Sale Analysis'!$A:$A,'[1]Point of Sale Analysis'!$B:$B,"not found",0)</f>
        <v>not found</v>
      </c>
    </row>
    <row r="645" spans="1:11" hidden="1" x14ac:dyDescent="0.3">
      <c r="A645" t="s">
        <v>651</v>
      </c>
      <c r="B645">
        <v>2</v>
      </c>
      <c r="C645">
        <v>3</v>
      </c>
      <c r="F645">
        <v>0</v>
      </c>
      <c r="G645">
        <v>2</v>
      </c>
      <c r="H645">
        <v>0</v>
      </c>
      <c r="I645">
        <f t="shared" si="92"/>
        <v>2</v>
      </c>
      <c r="J645" t="str">
        <f>_xlfn.XLOOKUP(A645,'[1]Point of Sale Analysis'!$A:$A,'[1]Point of Sale Analysis'!$B:$B,"not found",0)</f>
        <v>not found</v>
      </c>
    </row>
    <row r="646" spans="1:11" hidden="1" x14ac:dyDescent="0.3">
      <c r="A646" t="s">
        <v>652</v>
      </c>
      <c r="B646">
        <v>3</v>
      </c>
      <c r="C646">
        <v>3</v>
      </c>
      <c r="D646">
        <v>1</v>
      </c>
      <c r="F646">
        <v>15</v>
      </c>
      <c r="G646">
        <v>4</v>
      </c>
      <c r="H646">
        <v>0</v>
      </c>
      <c r="I646">
        <f t="shared" si="92"/>
        <v>4</v>
      </c>
      <c r="J646" t="str">
        <f>_xlfn.XLOOKUP(A646,'[1]Point of Sale Analysis'!$A:$A,'[1]Point of Sale Analysis'!$B:$B,"not found",0)</f>
        <v>not found</v>
      </c>
    </row>
    <row r="647" spans="1:11" hidden="1" x14ac:dyDescent="0.3">
      <c r="A647" t="s">
        <v>653</v>
      </c>
      <c r="B647">
        <v>1</v>
      </c>
      <c r="D647">
        <v>2</v>
      </c>
      <c r="F647">
        <v>0</v>
      </c>
      <c r="G647">
        <v>2</v>
      </c>
      <c r="H647">
        <v>0</v>
      </c>
      <c r="I647">
        <f t="shared" si="92"/>
        <v>2</v>
      </c>
      <c r="J647" t="str">
        <f>_xlfn.XLOOKUP(A647,'[1]Point of Sale Analysis'!$A:$A,'[1]Point of Sale Analysis'!$B:$B,"not found",0)</f>
        <v>not found</v>
      </c>
    </row>
    <row r="648" spans="1:11" hidden="1" x14ac:dyDescent="0.3">
      <c r="A648" t="s">
        <v>654</v>
      </c>
      <c r="B648">
        <v>2</v>
      </c>
      <c r="C648">
        <v>1</v>
      </c>
      <c r="E648">
        <v>2</v>
      </c>
      <c r="F648">
        <v>0</v>
      </c>
      <c r="G648">
        <v>3</v>
      </c>
      <c r="H648">
        <v>0</v>
      </c>
      <c r="I648">
        <f t="shared" si="92"/>
        <v>3</v>
      </c>
      <c r="J648" t="str">
        <f>_xlfn.XLOOKUP(A648,'[1]Point of Sale Analysis'!$A:$A,'[1]Point of Sale Analysis'!$B:$B,"not found",0)</f>
        <v>not found</v>
      </c>
    </row>
    <row r="649" spans="1:11" x14ac:dyDescent="0.3">
      <c r="A649" s="1" t="s">
        <v>655</v>
      </c>
      <c r="B649" s="1">
        <v>3</v>
      </c>
      <c r="C649" s="1"/>
      <c r="D649" s="1">
        <v>3</v>
      </c>
      <c r="E649" s="1">
        <v>1</v>
      </c>
      <c r="F649" s="1">
        <v>0</v>
      </c>
      <c r="G649" s="1">
        <v>2</v>
      </c>
      <c r="H649" s="1">
        <v>1</v>
      </c>
      <c r="I649" s="1">
        <f t="shared" si="92"/>
        <v>3</v>
      </c>
      <c r="J649" s="1">
        <f>_xlfn.XLOOKUP(A649,'[1]Point of Sale Analysis'!$A:$A,'[1]Point of Sale Analysis'!$B:$B,"not found",0)</f>
        <v>1</v>
      </c>
      <c r="K649" s="1">
        <f>ABS(J649-I649)</f>
        <v>2</v>
      </c>
    </row>
    <row r="650" spans="1:11" hidden="1" x14ac:dyDescent="0.3">
      <c r="A650" t="s">
        <v>656</v>
      </c>
      <c r="E650">
        <v>1</v>
      </c>
      <c r="F650">
        <v>3</v>
      </c>
      <c r="G650">
        <v>2</v>
      </c>
      <c r="H650">
        <v>0</v>
      </c>
      <c r="I650">
        <f t="shared" si="92"/>
        <v>2</v>
      </c>
      <c r="J650" t="str">
        <f>_xlfn.XLOOKUP(A650,'[1]Point of Sale Analysis'!$A:$A,'[1]Point of Sale Analysis'!$B:$B,"not found",0)</f>
        <v>not found</v>
      </c>
    </row>
    <row r="651" spans="1:11" hidden="1" x14ac:dyDescent="0.3">
      <c r="A651" t="s">
        <v>657</v>
      </c>
      <c r="E651">
        <v>1</v>
      </c>
      <c r="F651">
        <v>0</v>
      </c>
      <c r="G651">
        <v>3</v>
      </c>
      <c r="H651">
        <v>0</v>
      </c>
      <c r="I651">
        <f t="shared" si="92"/>
        <v>3</v>
      </c>
      <c r="J651" t="str">
        <f>_xlfn.XLOOKUP(A651,'[1]Point of Sale Analysis'!$A:$A,'[1]Point of Sale Analysis'!$B:$B,"not found",0)</f>
        <v>not found</v>
      </c>
    </row>
    <row r="652" spans="1:11" x14ac:dyDescent="0.3">
      <c r="A652" s="1" t="s">
        <v>658</v>
      </c>
      <c r="B652" s="1"/>
      <c r="C652" s="1"/>
      <c r="D652" s="1"/>
      <c r="E652" s="1">
        <v>1</v>
      </c>
      <c r="F652" s="1">
        <v>4</v>
      </c>
      <c r="G652" s="1">
        <v>2</v>
      </c>
      <c r="H652" s="1">
        <v>0</v>
      </c>
      <c r="I652" s="1">
        <f t="shared" si="92"/>
        <v>2</v>
      </c>
      <c r="J652" s="1">
        <f>_xlfn.XLOOKUP(A652,'[1]Point of Sale Analysis'!$A:$A,'[1]Point of Sale Analysis'!$B:$B,"not found",0)</f>
        <v>1</v>
      </c>
      <c r="K652" s="1">
        <f t="shared" ref="K652:K654" si="93">ABS(J652-I652)</f>
        <v>1</v>
      </c>
    </row>
    <row r="653" spans="1:11" x14ac:dyDescent="0.3">
      <c r="A653" s="1" t="s">
        <v>659</v>
      </c>
      <c r="B653" s="1">
        <v>2</v>
      </c>
      <c r="C653" s="1">
        <v>2</v>
      </c>
      <c r="D653" s="1">
        <v>2</v>
      </c>
      <c r="E653" s="1">
        <v>3</v>
      </c>
      <c r="F653" s="1">
        <v>3</v>
      </c>
      <c r="G653" s="1">
        <v>2</v>
      </c>
      <c r="H653" s="1">
        <v>0</v>
      </c>
      <c r="I653" s="1">
        <f t="shared" si="92"/>
        <v>2</v>
      </c>
      <c r="J653" s="1">
        <f>_xlfn.XLOOKUP(A653,'[1]Point of Sale Analysis'!$A:$A,'[1]Point of Sale Analysis'!$B:$B,"not found",0)</f>
        <v>1</v>
      </c>
      <c r="K653" s="1">
        <f t="shared" si="93"/>
        <v>1</v>
      </c>
    </row>
    <row r="654" spans="1:11" x14ac:dyDescent="0.3">
      <c r="A654" s="1" t="s">
        <v>660</v>
      </c>
      <c r="B654" s="1">
        <v>2</v>
      </c>
      <c r="C654" s="1"/>
      <c r="D654" s="1">
        <v>1</v>
      </c>
      <c r="E654" s="1"/>
      <c r="F654" s="1">
        <v>1</v>
      </c>
      <c r="G654" s="1">
        <v>3</v>
      </c>
      <c r="H654" s="1">
        <v>0</v>
      </c>
      <c r="I654" s="1">
        <f t="shared" si="92"/>
        <v>3</v>
      </c>
      <c r="J654" s="1">
        <f>_xlfn.XLOOKUP(A654,'[1]Point of Sale Analysis'!$A:$A,'[1]Point of Sale Analysis'!$B:$B,"not found",0)</f>
        <v>1</v>
      </c>
      <c r="K654" s="1">
        <f t="shared" si="93"/>
        <v>2</v>
      </c>
    </row>
    <row r="655" spans="1:11" hidden="1" x14ac:dyDescent="0.3">
      <c r="A655" t="s">
        <v>661</v>
      </c>
      <c r="E655">
        <v>1</v>
      </c>
      <c r="F655">
        <v>3</v>
      </c>
      <c r="G655">
        <v>3</v>
      </c>
      <c r="H655">
        <v>0</v>
      </c>
      <c r="I655">
        <f t="shared" si="92"/>
        <v>3</v>
      </c>
      <c r="J655" t="str">
        <f>_xlfn.XLOOKUP(A655,'[1]Point of Sale Analysis'!$A:$A,'[1]Point of Sale Analysis'!$B:$B,"not found",0)</f>
        <v>not found</v>
      </c>
    </row>
    <row r="656" spans="1:11" x14ac:dyDescent="0.3">
      <c r="A656" s="1" t="s">
        <v>662</v>
      </c>
      <c r="B656" s="1"/>
      <c r="C656" s="1"/>
      <c r="D656" s="1"/>
      <c r="E656" s="1">
        <v>1</v>
      </c>
      <c r="F656" s="1">
        <v>0</v>
      </c>
      <c r="G656" s="1">
        <v>1</v>
      </c>
      <c r="H656" s="1">
        <v>0</v>
      </c>
      <c r="I656" s="1">
        <f t="shared" si="92"/>
        <v>1</v>
      </c>
      <c r="J656" s="1">
        <f>_xlfn.XLOOKUP(A656,'[1]Point of Sale Analysis'!$A:$A,'[1]Point of Sale Analysis'!$B:$B,"not found",0)</f>
        <v>2</v>
      </c>
      <c r="K656" s="1">
        <f>ABS(J656-I656)</f>
        <v>1</v>
      </c>
    </row>
    <row r="657" spans="1:11" hidden="1" x14ac:dyDescent="0.3">
      <c r="A657" t="s">
        <v>663</v>
      </c>
      <c r="B657">
        <v>1</v>
      </c>
      <c r="C657">
        <v>1</v>
      </c>
      <c r="F657">
        <v>1</v>
      </c>
      <c r="G657">
        <v>3</v>
      </c>
      <c r="H657">
        <v>0</v>
      </c>
      <c r="I657">
        <f t="shared" si="92"/>
        <v>3</v>
      </c>
      <c r="J657" t="str">
        <f>_xlfn.XLOOKUP(A657,'[1]Point of Sale Analysis'!$A:$A,'[1]Point of Sale Analysis'!$B:$B,"not found",0)</f>
        <v>not found</v>
      </c>
    </row>
    <row r="658" spans="1:11" hidden="1" x14ac:dyDescent="0.3">
      <c r="A658" t="s">
        <v>664</v>
      </c>
      <c r="E658">
        <v>1</v>
      </c>
      <c r="F658">
        <v>0</v>
      </c>
      <c r="G658">
        <v>1</v>
      </c>
      <c r="H658">
        <v>0</v>
      </c>
      <c r="I658">
        <f t="shared" si="92"/>
        <v>1</v>
      </c>
      <c r="J658" t="str">
        <f>_xlfn.XLOOKUP(A658,'[1]Point of Sale Analysis'!$A:$A,'[1]Point of Sale Analysis'!$B:$B,"not found",0)</f>
        <v>not found</v>
      </c>
    </row>
    <row r="659" spans="1:11" hidden="1" x14ac:dyDescent="0.3">
      <c r="A659" t="s">
        <v>665</v>
      </c>
      <c r="B659">
        <v>1</v>
      </c>
      <c r="C659">
        <v>1</v>
      </c>
      <c r="F659">
        <v>0</v>
      </c>
      <c r="G659">
        <v>1</v>
      </c>
      <c r="H659">
        <v>0</v>
      </c>
      <c r="I659">
        <f t="shared" si="92"/>
        <v>1</v>
      </c>
      <c r="J659" t="str">
        <f>_xlfn.XLOOKUP(A659,'[1]Point of Sale Analysis'!$A:$A,'[1]Point of Sale Analysis'!$B:$B,"not found",0)</f>
        <v>not found</v>
      </c>
    </row>
    <row r="660" spans="1:11" hidden="1" x14ac:dyDescent="0.3">
      <c r="A660" t="s">
        <v>666</v>
      </c>
      <c r="E660">
        <v>2</v>
      </c>
      <c r="F660">
        <v>0</v>
      </c>
      <c r="G660">
        <v>1</v>
      </c>
      <c r="H660">
        <v>1</v>
      </c>
      <c r="I660">
        <f t="shared" si="92"/>
        <v>2</v>
      </c>
      <c r="J660" t="str">
        <f>_xlfn.XLOOKUP(A660,'[1]Point of Sale Analysis'!$A:$A,'[1]Point of Sale Analysis'!$B:$B,"not found",0)</f>
        <v>not found</v>
      </c>
    </row>
    <row r="661" spans="1:11" x14ac:dyDescent="0.3">
      <c r="A661" s="1" t="s">
        <v>667</v>
      </c>
      <c r="B661" s="1"/>
      <c r="C661" s="1">
        <v>2</v>
      </c>
      <c r="D661" s="1"/>
      <c r="E661" s="1">
        <v>1</v>
      </c>
      <c r="F661" s="1">
        <v>8</v>
      </c>
      <c r="G661" s="1">
        <v>2</v>
      </c>
      <c r="H661" s="1">
        <v>0</v>
      </c>
      <c r="I661" s="1">
        <f t="shared" si="92"/>
        <v>2</v>
      </c>
      <c r="J661" s="1">
        <f>_xlfn.XLOOKUP(A661,'[1]Point of Sale Analysis'!$A:$A,'[1]Point of Sale Analysis'!$B:$B,"not found",0)</f>
        <v>1</v>
      </c>
      <c r="K661" s="1">
        <f>ABS(J661-I661)</f>
        <v>1</v>
      </c>
    </row>
    <row r="662" spans="1:11" hidden="1" x14ac:dyDescent="0.3">
      <c r="A662" t="s">
        <v>668</v>
      </c>
      <c r="B662">
        <v>1</v>
      </c>
      <c r="C662">
        <v>2</v>
      </c>
      <c r="E662">
        <v>2</v>
      </c>
      <c r="F662">
        <v>8</v>
      </c>
      <c r="G662">
        <v>4</v>
      </c>
      <c r="H662">
        <v>0</v>
      </c>
      <c r="I662">
        <f t="shared" si="92"/>
        <v>4</v>
      </c>
      <c r="J662" t="str">
        <f>_xlfn.XLOOKUP(A662,'[1]Point of Sale Analysis'!$A:$A,'[1]Point of Sale Analysis'!$B:$B,"not found",0)</f>
        <v>not found</v>
      </c>
    </row>
    <row r="663" spans="1:11" hidden="1" x14ac:dyDescent="0.3">
      <c r="A663" t="s">
        <v>669</v>
      </c>
      <c r="B663">
        <v>1</v>
      </c>
      <c r="F663">
        <v>6</v>
      </c>
      <c r="G663">
        <v>2</v>
      </c>
      <c r="H663">
        <v>0</v>
      </c>
      <c r="I663">
        <f t="shared" si="92"/>
        <v>2</v>
      </c>
      <c r="J663" t="str">
        <f>_xlfn.XLOOKUP(A663,'[1]Point of Sale Analysis'!$A:$A,'[1]Point of Sale Analysis'!$B:$B,"not found",0)</f>
        <v>not found</v>
      </c>
    </row>
    <row r="664" spans="1:11" hidden="1" x14ac:dyDescent="0.3">
      <c r="A664" t="s">
        <v>670</v>
      </c>
      <c r="B664">
        <v>1</v>
      </c>
      <c r="D664">
        <v>2</v>
      </c>
      <c r="F664">
        <v>2</v>
      </c>
      <c r="G664">
        <v>4</v>
      </c>
      <c r="H664">
        <v>0</v>
      </c>
      <c r="I664">
        <f t="shared" si="92"/>
        <v>4</v>
      </c>
      <c r="J664" t="str">
        <f>_xlfn.XLOOKUP(A664,'[1]Point of Sale Analysis'!$A:$A,'[1]Point of Sale Analysis'!$B:$B,"not found",0)</f>
        <v>not found</v>
      </c>
    </row>
    <row r="665" spans="1:11" hidden="1" x14ac:dyDescent="0.3">
      <c r="A665" t="s">
        <v>671</v>
      </c>
      <c r="E665">
        <v>3</v>
      </c>
      <c r="F665">
        <v>0</v>
      </c>
      <c r="G665">
        <v>3</v>
      </c>
      <c r="H665">
        <v>0</v>
      </c>
      <c r="I665">
        <f t="shared" si="92"/>
        <v>3</v>
      </c>
      <c r="J665" t="str">
        <f>_xlfn.XLOOKUP(A665,'[1]Point of Sale Analysis'!$A:$A,'[1]Point of Sale Analysis'!$B:$B,"not found",0)</f>
        <v>not found</v>
      </c>
    </row>
    <row r="666" spans="1:11" hidden="1" x14ac:dyDescent="0.3">
      <c r="A666" t="s">
        <v>672</v>
      </c>
      <c r="E666">
        <v>1</v>
      </c>
      <c r="F666">
        <v>0</v>
      </c>
      <c r="G666">
        <v>-1</v>
      </c>
      <c r="H666">
        <v>2</v>
      </c>
      <c r="I666">
        <f t="shared" si="92"/>
        <v>1</v>
      </c>
      <c r="J666" t="str">
        <f>_xlfn.XLOOKUP(A666,'[1]Point of Sale Analysis'!$A:$A,'[1]Point of Sale Analysis'!$B:$B,"not found",0)</f>
        <v>not found</v>
      </c>
    </row>
    <row r="667" spans="1:11" x14ac:dyDescent="0.3">
      <c r="A667" s="1" t="s">
        <v>673</v>
      </c>
      <c r="B667" s="1">
        <v>3</v>
      </c>
      <c r="C667" s="1"/>
      <c r="D667" s="1">
        <v>1</v>
      </c>
      <c r="E667" s="1"/>
      <c r="F667" s="1">
        <v>0</v>
      </c>
      <c r="G667" s="1">
        <v>2</v>
      </c>
      <c r="H667" s="1">
        <v>0</v>
      </c>
      <c r="I667" s="1">
        <f t="shared" si="92"/>
        <v>2</v>
      </c>
      <c r="J667" s="1">
        <f>_xlfn.XLOOKUP(A667,'[1]Point of Sale Analysis'!$A:$A,'[1]Point of Sale Analysis'!$B:$B,"not found",0)</f>
        <v>1</v>
      </c>
      <c r="K667" s="1">
        <f>ABS(J667-I667)</f>
        <v>1</v>
      </c>
    </row>
    <row r="668" spans="1:11" hidden="1" x14ac:dyDescent="0.3">
      <c r="A668" t="s">
        <v>674</v>
      </c>
      <c r="B668">
        <v>2</v>
      </c>
      <c r="D668">
        <v>2</v>
      </c>
      <c r="E668">
        <v>1</v>
      </c>
      <c r="F668">
        <v>0</v>
      </c>
      <c r="G668">
        <v>2</v>
      </c>
      <c r="H668">
        <v>0</v>
      </c>
      <c r="I668">
        <f t="shared" si="92"/>
        <v>2</v>
      </c>
      <c r="J668" t="str">
        <f>_xlfn.XLOOKUP(A668,'[1]Point of Sale Analysis'!$A:$A,'[1]Point of Sale Analysis'!$B:$B,"not found",0)</f>
        <v>not found</v>
      </c>
    </row>
    <row r="669" spans="1:11" hidden="1" x14ac:dyDescent="0.3">
      <c r="A669" t="s">
        <v>675</v>
      </c>
      <c r="B669">
        <v>7</v>
      </c>
      <c r="C669">
        <v>3</v>
      </c>
      <c r="D669">
        <v>1</v>
      </c>
      <c r="E669">
        <v>1</v>
      </c>
      <c r="F669">
        <v>0</v>
      </c>
      <c r="G669">
        <v>3</v>
      </c>
      <c r="H669">
        <v>0</v>
      </c>
      <c r="I669">
        <f t="shared" si="92"/>
        <v>3</v>
      </c>
      <c r="J669" t="str">
        <f>_xlfn.XLOOKUP(A669,'[1]Point of Sale Analysis'!$A:$A,'[1]Point of Sale Analysis'!$B:$B,"not found",0)</f>
        <v>not found</v>
      </c>
    </row>
    <row r="670" spans="1:11" hidden="1" x14ac:dyDescent="0.3">
      <c r="A670" t="s">
        <v>676</v>
      </c>
      <c r="E670">
        <v>3</v>
      </c>
      <c r="F670">
        <v>1</v>
      </c>
      <c r="G670">
        <v>4</v>
      </c>
      <c r="H670">
        <v>0</v>
      </c>
      <c r="I670">
        <f t="shared" si="92"/>
        <v>4</v>
      </c>
      <c r="J670" t="str">
        <f>_xlfn.XLOOKUP(A670,'[1]Point of Sale Analysis'!$A:$A,'[1]Point of Sale Analysis'!$B:$B,"not found",0)</f>
        <v>not found</v>
      </c>
    </row>
    <row r="671" spans="1:11" hidden="1" x14ac:dyDescent="0.3">
      <c r="A671" t="s">
        <v>677</v>
      </c>
      <c r="B671">
        <v>11</v>
      </c>
      <c r="F671">
        <v>0</v>
      </c>
      <c r="G671">
        <v>0</v>
      </c>
      <c r="H671">
        <v>11</v>
      </c>
      <c r="I671">
        <f t="shared" si="92"/>
        <v>11</v>
      </c>
      <c r="J671" t="str">
        <f>_xlfn.XLOOKUP(A671,'[1]Point of Sale Analysis'!$A:$A,'[1]Point of Sale Analysis'!$B:$B,"not found",0)</f>
        <v>not found</v>
      </c>
    </row>
    <row r="672" spans="1:11" x14ac:dyDescent="0.3">
      <c r="A672" s="1" t="s">
        <v>678</v>
      </c>
      <c r="B672" s="1">
        <v>4</v>
      </c>
      <c r="C672" s="1">
        <v>2</v>
      </c>
      <c r="D672" s="1"/>
      <c r="E672" s="1"/>
      <c r="F672" s="1">
        <v>6</v>
      </c>
      <c r="G672" s="1">
        <v>3</v>
      </c>
      <c r="H672" s="1">
        <v>0</v>
      </c>
      <c r="I672" s="1">
        <f t="shared" si="92"/>
        <v>3</v>
      </c>
      <c r="J672" s="1">
        <f>_xlfn.XLOOKUP(A672,'[1]Point of Sale Analysis'!$A:$A,'[1]Point of Sale Analysis'!$B:$B,"not found",0)</f>
        <v>2</v>
      </c>
      <c r="K672" s="1">
        <f>ABS(J672-I672)</f>
        <v>1</v>
      </c>
    </row>
    <row r="673" spans="1:11" hidden="1" x14ac:dyDescent="0.3">
      <c r="A673" t="s">
        <v>679</v>
      </c>
      <c r="B673">
        <v>1</v>
      </c>
      <c r="F673">
        <v>2</v>
      </c>
      <c r="G673">
        <v>0</v>
      </c>
      <c r="H673">
        <v>1</v>
      </c>
      <c r="I673">
        <f t="shared" si="92"/>
        <v>1</v>
      </c>
      <c r="J673" t="str">
        <f>_xlfn.XLOOKUP(A673,'[1]Point of Sale Analysis'!$A:$A,'[1]Point of Sale Analysis'!$B:$B,"not found",0)</f>
        <v>not found</v>
      </c>
    </row>
    <row r="674" spans="1:11" x14ac:dyDescent="0.3">
      <c r="A674" s="1" t="s">
        <v>680</v>
      </c>
      <c r="B674" s="1"/>
      <c r="C674" s="1">
        <v>2</v>
      </c>
      <c r="D674" s="1">
        <v>2</v>
      </c>
      <c r="E674" s="1">
        <v>1</v>
      </c>
      <c r="F674" s="1">
        <v>1</v>
      </c>
      <c r="G674" s="1">
        <v>2</v>
      </c>
      <c r="H674" s="1">
        <v>0</v>
      </c>
      <c r="I674" s="1">
        <f t="shared" si="92"/>
        <v>2</v>
      </c>
      <c r="J674" s="1">
        <f>_xlfn.XLOOKUP(A674,'[1]Point of Sale Analysis'!$A:$A,'[1]Point of Sale Analysis'!$B:$B,"not found",0)</f>
        <v>1</v>
      </c>
      <c r="K674" s="1">
        <f t="shared" ref="K674:K675" si="94">ABS(J674-I674)</f>
        <v>1</v>
      </c>
    </row>
    <row r="675" spans="1:11" x14ac:dyDescent="0.3">
      <c r="A675" s="1" t="s">
        <v>681</v>
      </c>
      <c r="B675" s="1">
        <v>4</v>
      </c>
      <c r="C675" s="1">
        <v>10</v>
      </c>
      <c r="D675" s="1">
        <v>6</v>
      </c>
      <c r="E675" s="1">
        <v>4</v>
      </c>
      <c r="F675" s="1">
        <v>2</v>
      </c>
      <c r="G675" s="1">
        <v>5</v>
      </c>
      <c r="H675" s="1">
        <v>0</v>
      </c>
      <c r="I675" s="1">
        <f t="shared" si="92"/>
        <v>5</v>
      </c>
      <c r="J675" s="1">
        <f>_xlfn.XLOOKUP(A675,'[1]Point of Sale Analysis'!$A:$A,'[1]Point of Sale Analysis'!$B:$B,"not found",0)</f>
        <v>1</v>
      </c>
      <c r="K675" s="1">
        <f t="shared" si="94"/>
        <v>4</v>
      </c>
    </row>
    <row r="676" spans="1:11" hidden="1" x14ac:dyDescent="0.3">
      <c r="A676" t="s">
        <v>682</v>
      </c>
      <c r="B676">
        <v>3</v>
      </c>
      <c r="E676">
        <v>1</v>
      </c>
      <c r="F676">
        <v>13</v>
      </c>
      <c r="G676">
        <v>4</v>
      </c>
      <c r="H676">
        <v>0</v>
      </c>
      <c r="I676">
        <f t="shared" si="92"/>
        <v>4</v>
      </c>
      <c r="J676" t="str">
        <f>_xlfn.XLOOKUP(A676,'[1]Point of Sale Analysis'!$A:$A,'[1]Point of Sale Analysis'!$B:$B,"not found",0)</f>
        <v>not found</v>
      </c>
    </row>
    <row r="677" spans="1:11" x14ac:dyDescent="0.3">
      <c r="A677" s="1" t="s">
        <v>683</v>
      </c>
      <c r="B677" s="1">
        <v>1</v>
      </c>
      <c r="C677" s="1">
        <v>4</v>
      </c>
      <c r="D677" s="1">
        <v>3</v>
      </c>
      <c r="E677" s="1"/>
      <c r="F677" s="1">
        <v>13</v>
      </c>
      <c r="G677" s="1">
        <v>1</v>
      </c>
      <c r="H677" s="1">
        <v>2</v>
      </c>
      <c r="I677" s="1">
        <f t="shared" si="92"/>
        <v>3</v>
      </c>
      <c r="J677" s="1">
        <f>_xlfn.XLOOKUP(A677,'[1]Point of Sale Analysis'!$A:$A,'[1]Point of Sale Analysis'!$B:$B,"not found",0)</f>
        <v>2</v>
      </c>
      <c r="K677" s="1">
        <f>ABS(J677-I677)</f>
        <v>1</v>
      </c>
    </row>
    <row r="678" spans="1:11" hidden="1" x14ac:dyDescent="0.3">
      <c r="A678" t="s">
        <v>684</v>
      </c>
      <c r="B678">
        <v>2</v>
      </c>
      <c r="D678">
        <v>1</v>
      </c>
      <c r="F678">
        <v>8</v>
      </c>
      <c r="G678">
        <v>2</v>
      </c>
      <c r="H678">
        <v>0</v>
      </c>
      <c r="I678">
        <f t="shared" si="92"/>
        <v>2</v>
      </c>
      <c r="J678" t="str">
        <f>_xlfn.XLOOKUP(A678,'[1]Point of Sale Analysis'!$A:$A,'[1]Point of Sale Analysis'!$B:$B,"not found",0)</f>
        <v>not found</v>
      </c>
    </row>
    <row r="679" spans="1:11" x14ac:dyDescent="0.3">
      <c r="A679" s="1" t="s">
        <v>685</v>
      </c>
      <c r="B679" s="1"/>
      <c r="C679" s="1">
        <v>3</v>
      </c>
      <c r="D679" s="1">
        <v>2</v>
      </c>
      <c r="E679" s="1">
        <v>2</v>
      </c>
      <c r="F679" s="1">
        <v>16</v>
      </c>
      <c r="G679" s="1">
        <v>3</v>
      </c>
      <c r="H679" s="1">
        <v>0</v>
      </c>
      <c r="I679" s="1">
        <f t="shared" si="92"/>
        <v>3</v>
      </c>
      <c r="J679" s="1">
        <f>_xlfn.XLOOKUP(A679,'[1]Point of Sale Analysis'!$A:$A,'[1]Point of Sale Analysis'!$B:$B,"not found",0)</f>
        <v>2</v>
      </c>
      <c r="K679" s="1">
        <f t="shared" ref="K679:K681" si="95">ABS(J679-I679)</f>
        <v>1</v>
      </c>
    </row>
    <row r="680" spans="1:11" x14ac:dyDescent="0.3">
      <c r="A680" s="1" t="s">
        <v>686</v>
      </c>
      <c r="B680" s="1"/>
      <c r="C680" s="1"/>
      <c r="D680" s="1"/>
      <c r="E680" s="1">
        <v>3</v>
      </c>
      <c r="F680" s="1">
        <v>3</v>
      </c>
      <c r="G680" s="1">
        <v>2</v>
      </c>
      <c r="H680" s="1">
        <v>1</v>
      </c>
      <c r="I680" s="1">
        <f t="shared" si="92"/>
        <v>3</v>
      </c>
      <c r="J680" s="1">
        <f>_xlfn.XLOOKUP(A680,'[1]Point of Sale Analysis'!$A:$A,'[1]Point of Sale Analysis'!$B:$B,"not found",0)</f>
        <v>1</v>
      </c>
      <c r="K680" s="1">
        <f t="shared" si="95"/>
        <v>2</v>
      </c>
    </row>
    <row r="681" spans="1:11" x14ac:dyDescent="0.3">
      <c r="A681" s="1" t="s">
        <v>687</v>
      </c>
      <c r="B681" s="1">
        <v>4</v>
      </c>
      <c r="C681" s="1">
        <v>5</v>
      </c>
      <c r="D681" s="1">
        <v>6</v>
      </c>
      <c r="E681" s="1">
        <v>6</v>
      </c>
      <c r="F681" s="1">
        <v>20</v>
      </c>
      <c r="G681" s="1">
        <v>7</v>
      </c>
      <c r="H681" s="1">
        <v>0</v>
      </c>
      <c r="I681" s="1">
        <f t="shared" si="92"/>
        <v>7</v>
      </c>
      <c r="J681" s="1">
        <f>_xlfn.XLOOKUP(A681,'[1]Point of Sale Analysis'!$A:$A,'[1]Point of Sale Analysis'!$B:$B,"not found",0)</f>
        <v>3</v>
      </c>
      <c r="K681" s="1">
        <f t="shared" si="95"/>
        <v>4</v>
      </c>
    </row>
    <row r="682" spans="1:11" hidden="1" x14ac:dyDescent="0.3">
      <c r="A682" t="s">
        <v>688</v>
      </c>
      <c r="E682">
        <v>2</v>
      </c>
      <c r="F682">
        <v>5</v>
      </c>
      <c r="G682">
        <v>0</v>
      </c>
      <c r="H682">
        <v>2</v>
      </c>
      <c r="I682">
        <f t="shared" si="92"/>
        <v>2</v>
      </c>
      <c r="J682" t="str">
        <f>_xlfn.XLOOKUP(A682,'[1]Point of Sale Analysis'!$A:$A,'[1]Point of Sale Analysis'!$B:$B,"not found",0)</f>
        <v>not found</v>
      </c>
    </row>
    <row r="683" spans="1:11" x14ac:dyDescent="0.3">
      <c r="A683" s="1" t="s">
        <v>689</v>
      </c>
      <c r="B683" s="1"/>
      <c r="C683" s="1"/>
      <c r="D683" s="1"/>
      <c r="E683" s="1">
        <v>2</v>
      </c>
      <c r="F683" s="1">
        <v>1</v>
      </c>
      <c r="G683" s="1">
        <v>0</v>
      </c>
      <c r="H683" s="1">
        <v>2</v>
      </c>
      <c r="I683" s="1">
        <f t="shared" si="92"/>
        <v>2</v>
      </c>
      <c r="J683" s="1">
        <f>_xlfn.XLOOKUP(A683,'[1]Point of Sale Analysis'!$A:$A,'[1]Point of Sale Analysis'!$B:$B,"not found",0)</f>
        <v>2</v>
      </c>
      <c r="K683" s="1">
        <f t="shared" ref="K683:K685" si="96">ABS(J683-I683)</f>
        <v>0</v>
      </c>
    </row>
    <row r="684" spans="1:11" x14ac:dyDescent="0.3">
      <c r="A684" s="1" t="s">
        <v>690</v>
      </c>
      <c r="B684" s="1"/>
      <c r="C684" s="1"/>
      <c r="D684" s="1"/>
      <c r="E684" s="1">
        <v>1</v>
      </c>
      <c r="F684" s="1">
        <v>10</v>
      </c>
      <c r="G684" s="1">
        <v>1</v>
      </c>
      <c r="H684" s="1">
        <v>0</v>
      </c>
      <c r="I684" s="1">
        <f t="shared" si="92"/>
        <v>1</v>
      </c>
      <c r="J684" s="1">
        <f>_xlfn.XLOOKUP(A684,'[1]Point of Sale Analysis'!$A:$A,'[1]Point of Sale Analysis'!$B:$B,"not found",0)</f>
        <v>2</v>
      </c>
      <c r="K684" s="1">
        <f t="shared" si="96"/>
        <v>1</v>
      </c>
    </row>
    <row r="685" spans="1:11" x14ac:dyDescent="0.3">
      <c r="A685" s="1" t="s">
        <v>691</v>
      </c>
      <c r="B685" s="1"/>
      <c r="C685" s="1"/>
      <c r="D685" s="1"/>
      <c r="E685" s="1">
        <v>4</v>
      </c>
      <c r="F685" s="1">
        <v>1</v>
      </c>
      <c r="G685" s="1">
        <v>0</v>
      </c>
      <c r="H685" s="1">
        <v>4</v>
      </c>
      <c r="I685" s="1">
        <f t="shared" si="92"/>
        <v>4</v>
      </c>
      <c r="J685" s="1">
        <f>_xlfn.XLOOKUP(A685,'[1]Point of Sale Analysis'!$A:$A,'[1]Point of Sale Analysis'!$B:$B,"not found",0)</f>
        <v>3</v>
      </c>
      <c r="K685" s="1">
        <f t="shared" si="96"/>
        <v>1</v>
      </c>
    </row>
    <row r="686" spans="1:11" hidden="1" x14ac:dyDescent="0.3">
      <c r="A686" t="s">
        <v>692</v>
      </c>
      <c r="B686">
        <v>1</v>
      </c>
      <c r="E686">
        <v>2</v>
      </c>
      <c r="F686">
        <v>0</v>
      </c>
      <c r="G686">
        <v>0</v>
      </c>
      <c r="H686">
        <v>1</v>
      </c>
      <c r="I686">
        <f t="shared" si="92"/>
        <v>1</v>
      </c>
      <c r="J686" t="str">
        <f>_xlfn.XLOOKUP(A686,'[1]Point of Sale Analysis'!$A:$A,'[1]Point of Sale Analysis'!$B:$B,"not found",0)</f>
        <v>not found</v>
      </c>
    </row>
    <row r="687" spans="1:11" x14ac:dyDescent="0.3">
      <c r="A687" s="1" t="s">
        <v>693</v>
      </c>
      <c r="B687" s="1">
        <v>2</v>
      </c>
      <c r="C687" s="1"/>
      <c r="D687" s="1">
        <v>3</v>
      </c>
      <c r="E687" s="1"/>
      <c r="F687" s="1">
        <v>2</v>
      </c>
      <c r="G687" s="1">
        <v>1</v>
      </c>
      <c r="H687" s="1">
        <v>1</v>
      </c>
      <c r="I687" s="1">
        <f t="shared" si="92"/>
        <v>2</v>
      </c>
      <c r="J687" s="1">
        <f>_xlfn.XLOOKUP(A687,'[1]Point of Sale Analysis'!$A:$A,'[1]Point of Sale Analysis'!$B:$B,"not found",0)</f>
        <v>2</v>
      </c>
      <c r="K687" s="1">
        <f>ABS(J687-I687)</f>
        <v>0</v>
      </c>
    </row>
    <row r="688" spans="1:11" hidden="1" x14ac:dyDescent="0.3">
      <c r="A688" t="s">
        <v>694</v>
      </c>
      <c r="E688">
        <v>1</v>
      </c>
      <c r="F688">
        <v>0</v>
      </c>
      <c r="G688">
        <v>2</v>
      </c>
      <c r="H688">
        <v>0</v>
      </c>
      <c r="I688">
        <f t="shared" si="92"/>
        <v>2</v>
      </c>
      <c r="J688" t="str">
        <f>_xlfn.XLOOKUP(A688,'[1]Point of Sale Analysis'!$A:$A,'[1]Point of Sale Analysis'!$B:$B,"not found",0)</f>
        <v>not found</v>
      </c>
    </row>
    <row r="689" spans="1:11" hidden="1" x14ac:dyDescent="0.3">
      <c r="A689" t="s">
        <v>695</v>
      </c>
      <c r="B689">
        <v>1</v>
      </c>
      <c r="D689">
        <v>3</v>
      </c>
      <c r="F689">
        <v>8</v>
      </c>
      <c r="G689">
        <v>4</v>
      </c>
      <c r="H689">
        <v>0</v>
      </c>
      <c r="I689">
        <f t="shared" si="92"/>
        <v>4</v>
      </c>
      <c r="J689" t="str">
        <f>_xlfn.XLOOKUP(A689,'[1]Point of Sale Analysis'!$A:$A,'[1]Point of Sale Analysis'!$B:$B,"not found",0)</f>
        <v>not found</v>
      </c>
    </row>
    <row r="690" spans="1:11" hidden="1" x14ac:dyDescent="0.3">
      <c r="A690" t="s">
        <v>696</v>
      </c>
      <c r="E690">
        <v>2</v>
      </c>
      <c r="F690">
        <v>5</v>
      </c>
      <c r="G690">
        <v>0</v>
      </c>
      <c r="H690">
        <v>2</v>
      </c>
      <c r="I690">
        <f t="shared" si="92"/>
        <v>2</v>
      </c>
      <c r="J690" t="str">
        <f>_xlfn.XLOOKUP(A690,'[1]Point of Sale Analysis'!$A:$A,'[1]Point of Sale Analysis'!$B:$B,"not found",0)</f>
        <v>not found</v>
      </c>
    </row>
    <row r="691" spans="1:11" hidden="1" x14ac:dyDescent="0.3">
      <c r="A691" t="s">
        <v>697</v>
      </c>
      <c r="B691">
        <v>1</v>
      </c>
      <c r="F691">
        <v>1</v>
      </c>
      <c r="G691">
        <v>1</v>
      </c>
      <c r="H691">
        <v>0</v>
      </c>
      <c r="I691">
        <f t="shared" si="92"/>
        <v>1</v>
      </c>
      <c r="J691" t="str">
        <f>_xlfn.XLOOKUP(A691,'[1]Point of Sale Analysis'!$A:$A,'[1]Point of Sale Analysis'!$B:$B,"not found",0)</f>
        <v>not found</v>
      </c>
    </row>
    <row r="692" spans="1:11" hidden="1" x14ac:dyDescent="0.3">
      <c r="A692" t="s">
        <v>698</v>
      </c>
      <c r="E692">
        <v>1</v>
      </c>
      <c r="F692">
        <v>0</v>
      </c>
      <c r="G692">
        <v>2</v>
      </c>
      <c r="H692">
        <v>0</v>
      </c>
      <c r="I692">
        <f t="shared" si="92"/>
        <v>2</v>
      </c>
      <c r="J692" t="str">
        <f>_xlfn.XLOOKUP(A692,'[1]Point of Sale Analysis'!$A:$A,'[1]Point of Sale Analysis'!$B:$B,"not found",0)</f>
        <v>not found</v>
      </c>
    </row>
    <row r="693" spans="1:11" x14ac:dyDescent="0.3">
      <c r="A693" s="1" t="s">
        <v>699</v>
      </c>
      <c r="B693" s="1"/>
      <c r="C693" s="1"/>
      <c r="D693" s="1"/>
      <c r="E693" s="1">
        <v>1</v>
      </c>
      <c r="F693" s="1">
        <v>2</v>
      </c>
      <c r="G693" s="1">
        <v>2</v>
      </c>
      <c r="H693" s="1">
        <v>0</v>
      </c>
      <c r="I693" s="1">
        <f t="shared" si="92"/>
        <v>2</v>
      </c>
      <c r="J693" s="1">
        <f>_xlfn.XLOOKUP(A693,'[1]Point of Sale Analysis'!$A:$A,'[1]Point of Sale Analysis'!$B:$B,"not found",0)</f>
        <v>1</v>
      </c>
      <c r="K693" s="1">
        <f t="shared" ref="K693:K696" si="97">ABS(J693-I693)</f>
        <v>1</v>
      </c>
    </row>
    <row r="694" spans="1:11" x14ac:dyDescent="0.3">
      <c r="A694" s="1" t="s">
        <v>700</v>
      </c>
      <c r="B694" s="1"/>
      <c r="C694" s="1"/>
      <c r="D694" s="1"/>
      <c r="E694" s="1">
        <v>3</v>
      </c>
      <c r="F694" s="1">
        <v>0</v>
      </c>
      <c r="G694" s="1">
        <v>5</v>
      </c>
      <c r="H694" s="1">
        <v>0</v>
      </c>
      <c r="I694" s="1">
        <f t="shared" si="92"/>
        <v>5</v>
      </c>
      <c r="J694" s="1">
        <f>_xlfn.XLOOKUP(A694,'[1]Point of Sale Analysis'!$A:$A,'[1]Point of Sale Analysis'!$B:$B,"not found",0)</f>
        <v>1</v>
      </c>
      <c r="K694" s="1">
        <f t="shared" si="97"/>
        <v>4</v>
      </c>
    </row>
    <row r="695" spans="1:11" x14ac:dyDescent="0.3">
      <c r="A695" s="1" t="s">
        <v>701</v>
      </c>
      <c r="B695" s="1">
        <v>4</v>
      </c>
      <c r="C695" s="1">
        <v>2</v>
      </c>
      <c r="D695" s="1">
        <v>4</v>
      </c>
      <c r="E695" s="1"/>
      <c r="F695" s="1">
        <v>0</v>
      </c>
      <c r="G695" s="1">
        <v>1</v>
      </c>
      <c r="H695" s="1">
        <v>3</v>
      </c>
      <c r="I695" s="1">
        <f t="shared" si="92"/>
        <v>4</v>
      </c>
      <c r="J695" s="1">
        <f>_xlfn.XLOOKUP(A695,'[1]Point of Sale Analysis'!$A:$A,'[1]Point of Sale Analysis'!$B:$B,"not found",0)</f>
        <v>1</v>
      </c>
      <c r="K695" s="1">
        <f t="shared" si="97"/>
        <v>3</v>
      </c>
    </row>
    <row r="696" spans="1:11" x14ac:dyDescent="0.3">
      <c r="A696" s="1" t="s">
        <v>702</v>
      </c>
      <c r="B696" s="1">
        <v>5</v>
      </c>
      <c r="C696" s="1">
        <v>2</v>
      </c>
      <c r="D696" s="1">
        <v>1</v>
      </c>
      <c r="E696" s="1">
        <v>1</v>
      </c>
      <c r="F696" s="1">
        <v>0</v>
      </c>
      <c r="G696" s="1">
        <v>1</v>
      </c>
      <c r="H696" s="1">
        <v>0</v>
      </c>
      <c r="I696" s="1">
        <f t="shared" si="92"/>
        <v>1</v>
      </c>
      <c r="J696" s="1">
        <f>_xlfn.XLOOKUP(A696,'[1]Point of Sale Analysis'!$A:$A,'[1]Point of Sale Analysis'!$B:$B,"not found",0)</f>
        <v>1</v>
      </c>
      <c r="K696" s="1">
        <f t="shared" si="97"/>
        <v>0</v>
      </c>
    </row>
    <row r="697" spans="1:11" hidden="1" x14ac:dyDescent="0.3">
      <c r="A697" t="s">
        <v>703</v>
      </c>
      <c r="B697">
        <v>1</v>
      </c>
      <c r="F697">
        <v>0</v>
      </c>
      <c r="G697">
        <v>1</v>
      </c>
      <c r="H697">
        <v>0</v>
      </c>
      <c r="I697">
        <f t="shared" si="92"/>
        <v>1</v>
      </c>
      <c r="J697" t="str">
        <f>_xlfn.XLOOKUP(A697,'[1]Point of Sale Analysis'!$A:$A,'[1]Point of Sale Analysis'!$B:$B,"not found",0)</f>
        <v>not found</v>
      </c>
    </row>
    <row r="698" spans="1:11" hidden="1" x14ac:dyDescent="0.3">
      <c r="A698" t="s">
        <v>704</v>
      </c>
      <c r="B698">
        <v>1</v>
      </c>
      <c r="E698">
        <v>3</v>
      </c>
      <c r="F698">
        <v>1</v>
      </c>
      <c r="G698">
        <v>3</v>
      </c>
      <c r="H698">
        <v>0</v>
      </c>
      <c r="I698">
        <f t="shared" si="92"/>
        <v>3</v>
      </c>
      <c r="J698" t="str">
        <f>_xlfn.XLOOKUP(A698,'[1]Point of Sale Analysis'!$A:$A,'[1]Point of Sale Analysis'!$B:$B,"not found",0)</f>
        <v>not found</v>
      </c>
    </row>
    <row r="699" spans="1:11" x14ac:dyDescent="0.3">
      <c r="A699" s="1" t="s">
        <v>705</v>
      </c>
      <c r="B699" s="1">
        <v>4</v>
      </c>
      <c r="C699" s="1">
        <v>3</v>
      </c>
      <c r="D699" s="1">
        <v>2</v>
      </c>
      <c r="E699" s="1">
        <v>3</v>
      </c>
      <c r="F699" s="1">
        <v>3</v>
      </c>
      <c r="G699" s="1">
        <v>2</v>
      </c>
      <c r="H699" s="1">
        <v>1</v>
      </c>
      <c r="I699" s="1">
        <f t="shared" si="92"/>
        <v>3</v>
      </c>
      <c r="J699" s="1">
        <f>_xlfn.XLOOKUP(A699,'[1]Point of Sale Analysis'!$A:$A,'[1]Point of Sale Analysis'!$B:$B,"not found",0)</f>
        <v>1</v>
      </c>
      <c r="K699" s="1">
        <f>ABS(J699-I699)</f>
        <v>2</v>
      </c>
    </row>
    <row r="700" spans="1:11" hidden="1" x14ac:dyDescent="0.3">
      <c r="A700" t="s">
        <v>706</v>
      </c>
      <c r="B700">
        <v>3</v>
      </c>
      <c r="F700">
        <v>3</v>
      </c>
      <c r="G700">
        <v>1</v>
      </c>
      <c r="H700">
        <v>2</v>
      </c>
      <c r="I700">
        <f t="shared" si="92"/>
        <v>3</v>
      </c>
      <c r="J700" t="str">
        <f>_xlfn.XLOOKUP(A700,'[1]Point of Sale Analysis'!$A:$A,'[1]Point of Sale Analysis'!$B:$B,"not found",0)</f>
        <v>not found</v>
      </c>
    </row>
    <row r="701" spans="1:11" hidden="1" x14ac:dyDescent="0.3">
      <c r="A701" t="s">
        <v>707</v>
      </c>
      <c r="C701">
        <v>3</v>
      </c>
      <c r="D701">
        <v>4</v>
      </c>
      <c r="F701">
        <v>3</v>
      </c>
      <c r="G701">
        <v>3</v>
      </c>
      <c r="H701">
        <v>0</v>
      </c>
      <c r="I701">
        <f t="shared" si="92"/>
        <v>3</v>
      </c>
      <c r="J701" t="str">
        <f>_xlfn.XLOOKUP(A701,'[1]Point of Sale Analysis'!$A:$A,'[1]Point of Sale Analysis'!$B:$B,"not found",0)</f>
        <v>not found</v>
      </c>
    </row>
    <row r="702" spans="1:11" hidden="1" x14ac:dyDescent="0.3">
      <c r="A702" t="s">
        <v>708</v>
      </c>
      <c r="C702">
        <v>1</v>
      </c>
      <c r="F702">
        <v>0</v>
      </c>
      <c r="G702">
        <v>1</v>
      </c>
      <c r="H702">
        <v>0</v>
      </c>
      <c r="I702">
        <f t="shared" si="92"/>
        <v>1</v>
      </c>
      <c r="J702" t="str">
        <f>_xlfn.XLOOKUP(A702,'[1]Point of Sale Analysis'!$A:$A,'[1]Point of Sale Analysis'!$B:$B,"not found",0)</f>
        <v>not found</v>
      </c>
    </row>
    <row r="703" spans="1:11" hidden="1" x14ac:dyDescent="0.3">
      <c r="A703" t="s">
        <v>709</v>
      </c>
      <c r="B703">
        <v>1</v>
      </c>
      <c r="C703">
        <v>1</v>
      </c>
      <c r="D703">
        <v>1</v>
      </c>
      <c r="F703">
        <v>3</v>
      </c>
      <c r="G703">
        <v>2</v>
      </c>
      <c r="H703">
        <v>0</v>
      </c>
      <c r="I703">
        <f t="shared" si="92"/>
        <v>2</v>
      </c>
      <c r="J703" t="str">
        <f>_xlfn.XLOOKUP(A703,'[1]Point of Sale Analysis'!$A:$A,'[1]Point of Sale Analysis'!$B:$B,"not found",0)</f>
        <v>not found</v>
      </c>
    </row>
    <row r="704" spans="1:11" hidden="1" x14ac:dyDescent="0.3">
      <c r="A704" t="s">
        <v>710</v>
      </c>
      <c r="C704">
        <v>1</v>
      </c>
      <c r="D704">
        <v>1</v>
      </c>
      <c r="F704">
        <v>5</v>
      </c>
      <c r="G704">
        <v>2</v>
      </c>
      <c r="H704">
        <v>0</v>
      </c>
      <c r="I704">
        <f t="shared" si="92"/>
        <v>2</v>
      </c>
      <c r="J704" t="str">
        <f>_xlfn.XLOOKUP(A704,'[1]Point of Sale Analysis'!$A:$A,'[1]Point of Sale Analysis'!$B:$B,"not found",0)</f>
        <v>not found</v>
      </c>
    </row>
    <row r="705" spans="1:11" x14ac:dyDescent="0.3">
      <c r="A705" s="1" t="s">
        <v>711</v>
      </c>
      <c r="B705" s="1"/>
      <c r="C705" s="1"/>
      <c r="D705" s="1"/>
      <c r="E705" s="1">
        <v>1</v>
      </c>
      <c r="F705" s="1">
        <v>0</v>
      </c>
      <c r="G705" s="1">
        <v>1</v>
      </c>
      <c r="H705" s="1">
        <v>0</v>
      </c>
      <c r="I705" s="1">
        <f t="shared" si="92"/>
        <v>1</v>
      </c>
      <c r="J705" s="1">
        <f>_xlfn.XLOOKUP(A705,'[1]Point of Sale Analysis'!$A:$A,'[1]Point of Sale Analysis'!$B:$B,"not found",0)</f>
        <v>1</v>
      </c>
      <c r="K705" s="1">
        <f>ABS(J705-I705)</f>
        <v>0</v>
      </c>
    </row>
    <row r="706" spans="1:11" hidden="1" x14ac:dyDescent="0.3">
      <c r="A706" t="s">
        <v>712</v>
      </c>
      <c r="E706">
        <v>2</v>
      </c>
      <c r="F706">
        <v>1</v>
      </c>
      <c r="G706">
        <v>2</v>
      </c>
      <c r="H706">
        <v>0</v>
      </c>
      <c r="I706">
        <f t="shared" si="92"/>
        <v>2</v>
      </c>
      <c r="J706" t="str">
        <f>_xlfn.XLOOKUP(A706,'[1]Point of Sale Analysis'!$A:$A,'[1]Point of Sale Analysis'!$B:$B,"not found",0)</f>
        <v>not found</v>
      </c>
    </row>
    <row r="707" spans="1:11" hidden="1" x14ac:dyDescent="0.3">
      <c r="A707" t="s">
        <v>713</v>
      </c>
      <c r="C707">
        <v>1</v>
      </c>
      <c r="D707">
        <v>2</v>
      </c>
      <c r="E707">
        <v>2</v>
      </c>
      <c r="F707">
        <v>0</v>
      </c>
      <c r="G707">
        <v>1</v>
      </c>
      <c r="H707">
        <v>1</v>
      </c>
      <c r="I707">
        <f t="shared" ref="I707:I770" si="98">G707+H707</f>
        <v>2</v>
      </c>
      <c r="J707" t="str">
        <f>_xlfn.XLOOKUP(A707,'[1]Point of Sale Analysis'!$A:$A,'[1]Point of Sale Analysis'!$B:$B,"not found",0)</f>
        <v>not found</v>
      </c>
    </row>
    <row r="708" spans="1:11" x14ac:dyDescent="0.3">
      <c r="A708" s="1" t="s">
        <v>714</v>
      </c>
      <c r="B708" s="1">
        <v>2</v>
      </c>
      <c r="C708" s="1">
        <v>2</v>
      </c>
      <c r="D708" s="1">
        <v>2</v>
      </c>
      <c r="E708" s="1">
        <v>2</v>
      </c>
      <c r="F708" s="1">
        <v>1</v>
      </c>
      <c r="G708" s="1">
        <v>3</v>
      </c>
      <c r="H708" s="1">
        <v>0</v>
      </c>
      <c r="I708" s="1">
        <f t="shared" si="98"/>
        <v>3</v>
      </c>
      <c r="J708" s="1">
        <f>_xlfn.XLOOKUP(A708,'[1]Point of Sale Analysis'!$A:$A,'[1]Point of Sale Analysis'!$B:$B,"not found",0)</f>
        <v>1</v>
      </c>
      <c r="K708" s="1">
        <f t="shared" ref="K708:K709" si="99">ABS(J708-I708)</f>
        <v>2</v>
      </c>
    </row>
    <row r="709" spans="1:11" x14ac:dyDescent="0.3">
      <c r="A709" s="1" t="s">
        <v>715</v>
      </c>
      <c r="B709" s="1">
        <v>2</v>
      </c>
      <c r="C709" s="1">
        <v>1</v>
      </c>
      <c r="D709" s="1"/>
      <c r="E709" s="1"/>
      <c r="F709" s="1">
        <v>4</v>
      </c>
      <c r="G709" s="1">
        <v>1</v>
      </c>
      <c r="H709" s="1">
        <v>0</v>
      </c>
      <c r="I709" s="1">
        <f t="shared" si="98"/>
        <v>1</v>
      </c>
      <c r="J709" s="1">
        <f>_xlfn.XLOOKUP(A709,'[1]Point of Sale Analysis'!$A:$A,'[1]Point of Sale Analysis'!$B:$B,"not found",0)</f>
        <v>2</v>
      </c>
      <c r="K709" s="1">
        <f t="shared" si="99"/>
        <v>1</v>
      </c>
    </row>
    <row r="710" spans="1:11" hidden="1" x14ac:dyDescent="0.3">
      <c r="A710" t="s">
        <v>716</v>
      </c>
      <c r="E710">
        <v>1</v>
      </c>
      <c r="F710">
        <v>3</v>
      </c>
      <c r="G710">
        <v>2</v>
      </c>
      <c r="H710">
        <v>0</v>
      </c>
      <c r="I710">
        <f t="shared" si="98"/>
        <v>2</v>
      </c>
      <c r="J710" t="str">
        <f>_xlfn.XLOOKUP(A710,'[1]Point of Sale Analysis'!$A:$A,'[1]Point of Sale Analysis'!$B:$B,"not found",0)</f>
        <v>not found</v>
      </c>
    </row>
    <row r="711" spans="1:11" hidden="1" x14ac:dyDescent="0.3">
      <c r="A711" t="s">
        <v>717</v>
      </c>
      <c r="B711">
        <v>4</v>
      </c>
      <c r="C711">
        <v>1</v>
      </c>
      <c r="D711">
        <v>3</v>
      </c>
      <c r="F711">
        <v>3</v>
      </c>
      <c r="G711">
        <v>4</v>
      </c>
      <c r="H711">
        <v>0</v>
      </c>
      <c r="I711">
        <f t="shared" si="98"/>
        <v>4</v>
      </c>
      <c r="J711" t="str">
        <f>_xlfn.XLOOKUP(A711,'[1]Point of Sale Analysis'!$A:$A,'[1]Point of Sale Analysis'!$B:$B,"not found",0)</f>
        <v>not found</v>
      </c>
    </row>
    <row r="712" spans="1:11" x14ac:dyDescent="0.3">
      <c r="A712" s="1" t="s">
        <v>718</v>
      </c>
      <c r="B712" s="1">
        <v>6</v>
      </c>
      <c r="C712" s="1">
        <v>10</v>
      </c>
      <c r="D712" s="1">
        <v>4</v>
      </c>
      <c r="E712" s="1">
        <v>4</v>
      </c>
      <c r="F712" s="1">
        <v>0</v>
      </c>
      <c r="G712" s="1">
        <v>-5</v>
      </c>
      <c r="H712" s="1">
        <v>10</v>
      </c>
      <c r="I712" s="1">
        <f t="shared" si="98"/>
        <v>5</v>
      </c>
      <c r="J712" s="1">
        <f>_xlfn.XLOOKUP(A712,'[1]Point of Sale Analysis'!$A:$A,'[1]Point of Sale Analysis'!$B:$B,"not found",0)</f>
        <v>7</v>
      </c>
      <c r="K712" s="1">
        <f t="shared" ref="K712:K720" si="100">ABS(J712-I712)</f>
        <v>2</v>
      </c>
    </row>
    <row r="713" spans="1:11" x14ac:dyDescent="0.3">
      <c r="A713" s="1" t="s">
        <v>719</v>
      </c>
      <c r="B713" s="1">
        <v>7</v>
      </c>
      <c r="C713" s="1">
        <v>3</v>
      </c>
      <c r="D713" s="1">
        <v>11</v>
      </c>
      <c r="E713" s="1">
        <v>4</v>
      </c>
      <c r="F713" s="1">
        <v>0</v>
      </c>
      <c r="G713" s="1">
        <v>1</v>
      </c>
      <c r="H713" s="1">
        <v>4</v>
      </c>
      <c r="I713" s="1">
        <f t="shared" si="98"/>
        <v>5</v>
      </c>
      <c r="J713" s="1">
        <f>_xlfn.XLOOKUP(A713,'[1]Point of Sale Analysis'!$A:$A,'[1]Point of Sale Analysis'!$B:$B,"not found",0)</f>
        <v>4</v>
      </c>
      <c r="K713" s="1">
        <f t="shared" si="100"/>
        <v>1</v>
      </c>
    </row>
    <row r="714" spans="1:11" x14ac:dyDescent="0.3">
      <c r="A714" s="1" t="s">
        <v>720</v>
      </c>
      <c r="B714" s="1">
        <v>2</v>
      </c>
      <c r="C714" s="1">
        <v>3</v>
      </c>
      <c r="D714" s="1">
        <v>5</v>
      </c>
      <c r="E714" s="1">
        <v>1</v>
      </c>
      <c r="F714" s="1">
        <v>0</v>
      </c>
      <c r="G714" s="1">
        <v>1</v>
      </c>
      <c r="H714" s="1">
        <v>1</v>
      </c>
      <c r="I714" s="1">
        <f t="shared" si="98"/>
        <v>2</v>
      </c>
      <c r="J714" s="1">
        <f>_xlfn.XLOOKUP(A714,'[1]Point of Sale Analysis'!$A:$A,'[1]Point of Sale Analysis'!$B:$B,"not found",0)</f>
        <v>4</v>
      </c>
      <c r="K714" s="1">
        <f t="shared" si="100"/>
        <v>2</v>
      </c>
    </row>
    <row r="715" spans="1:11" x14ac:dyDescent="0.3">
      <c r="A715" s="1" t="s">
        <v>721</v>
      </c>
      <c r="B715" s="1"/>
      <c r="C715" s="1"/>
      <c r="D715" s="1">
        <v>3</v>
      </c>
      <c r="E715" s="1"/>
      <c r="F715" s="1">
        <v>0</v>
      </c>
      <c r="G715" s="1">
        <v>2</v>
      </c>
      <c r="H715" s="1">
        <v>1</v>
      </c>
      <c r="I715" s="1">
        <f t="shared" si="98"/>
        <v>3</v>
      </c>
      <c r="J715" s="1">
        <f>_xlfn.XLOOKUP(A715,'[1]Point of Sale Analysis'!$A:$A,'[1]Point of Sale Analysis'!$B:$B,"not found",0)</f>
        <v>1</v>
      </c>
      <c r="K715" s="1">
        <f t="shared" si="100"/>
        <v>2</v>
      </c>
    </row>
    <row r="716" spans="1:11" x14ac:dyDescent="0.3">
      <c r="A716" s="1" t="s">
        <v>722</v>
      </c>
      <c r="B716" s="1">
        <v>1</v>
      </c>
      <c r="C716" s="1"/>
      <c r="D716" s="1">
        <v>2</v>
      </c>
      <c r="E716" s="1">
        <v>2</v>
      </c>
      <c r="F716" s="1">
        <v>0</v>
      </c>
      <c r="G716" s="1">
        <v>3</v>
      </c>
      <c r="H716" s="1">
        <v>0</v>
      </c>
      <c r="I716" s="1">
        <f t="shared" si="98"/>
        <v>3</v>
      </c>
      <c r="J716" s="1">
        <f>_xlfn.XLOOKUP(A716,'[1]Point of Sale Analysis'!$A:$A,'[1]Point of Sale Analysis'!$B:$B,"not found",0)</f>
        <v>1</v>
      </c>
      <c r="K716" s="1">
        <f t="shared" si="100"/>
        <v>2</v>
      </c>
    </row>
    <row r="717" spans="1:11" x14ac:dyDescent="0.3">
      <c r="A717" s="1" t="s">
        <v>723</v>
      </c>
      <c r="B717" s="1">
        <v>9</v>
      </c>
      <c r="C717" s="1">
        <v>6</v>
      </c>
      <c r="D717" s="1">
        <v>12</v>
      </c>
      <c r="E717" s="1">
        <v>12</v>
      </c>
      <c r="F717" s="1">
        <v>0</v>
      </c>
      <c r="G717" s="1">
        <v>9</v>
      </c>
      <c r="H717" s="1">
        <v>1</v>
      </c>
      <c r="I717" s="1">
        <f t="shared" si="98"/>
        <v>10</v>
      </c>
      <c r="J717" s="1">
        <f>_xlfn.XLOOKUP(A717,'[1]Point of Sale Analysis'!$A:$A,'[1]Point of Sale Analysis'!$B:$B,"not found",0)</f>
        <v>6</v>
      </c>
      <c r="K717" s="1">
        <f t="shared" si="100"/>
        <v>4</v>
      </c>
    </row>
    <row r="718" spans="1:11" x14ac:dyDescent="0.3">
      <c r="A718" s="1" t="s">
        <v>724</v>
      </c>
      <c r="B718" s="1">
        <v>1</v>
      </c>
      <c r="C718" s="1">
        <v>1</v>
      </c>
      <c r="D718" s="1">
        <v>4</v>
      </c>
      <c r="E718" s="1"/>
      <c r="F718" s="1">
        <v>0</v>
      </c>
      <c r="G718" s="1">
        <v>3</v>
      </c>
      <c r="H718" s="1">
        <v>0</v>
      </c>
      <c r="I718" s="1">
        <f t="shared" si="98"/>
        <v>3</v>
      </c>
      <c r="J718" s="1">
        <f>_xlfn.XLOOKUP(A718,'[1]Point of Sale Analysis'!$A:$A,'[1]Point of Sale Analysis'!$B:$B,"not found",0)</f>
        <v>1</v>
      </c>
      <c r="K718" s="1">
        <f t="shared" si="100"/>
        <v>2</v>
      </c>
    </row>
    <row r="719" spans="1:11" x14ac:dyDescent="0.3">
      <c r="A719" s="1" t="s">
        <v>725</v>
      </c>
      <c r="B719" s="1">
        <v>3</v>
      </c>
      <c r="C719" s="1">
        <v>1</v>
      </c>
      <c r="D719" s="1">
        <v>13</v>
      </c>
      <c r="E719" s="1">
        <v>5</v>
      </c>
      <c r="F719" s="1">
        <v>15</v>
      </c>
      <c r="G719" s="1">
        <v>6</v>
      </c>
      <c r="H719" s="1">
        <v>0</v>
      </c>
      <c r="I719" s="1">
        <f t="shared" si="98"/>
        <v>6</v>
      </c>
      <c r="J719" s="1">
        <f>_xlfn.XLOOKUP(A719,'[1]Point of Sale Analysis'!$A:$A,'[1]Point of Sale Analysis'!$B:$B,"not found",0)</f>
        <v>4</v>
      </c>
      <c r="K719" s="1">
        <f t="shared" si="100"/>
        <v>2</v>
      </c>
    </row>
    <row r="720" spans="1:11" x14ac:dyDescent="0.3">
      <c r="A720" s="1" t="s">
        <v>726</v>
      </c>
      <c r="B720" s="1">
        <v>3</v>
      </c>
      <c r="C720" s="1">
        <v>2</v>
      </c>
      <c r="D720" s="1">
        <v>1</v>
      </c>
      <c r="E720" s="1">
        <v>2</v>
      </c>
      <c r="F720" s="1">
        <v>11</v>
      </c>
      <c r="G720" s="1">
        <v>5</v>
      </c>
      <c r="H720" s="1">
        <v>0</v>
      </c>
      <c r="I720" s="1">
        <f t="shared" si="98"/>
        <v>5</v>
      </c>
      <c r="J720" s="1">
        <f>_xlfn.XLOOKUP(A720,'[1]Point of Sale Analysis'!$A:$A,'[1]Point of Sale Analysis'!$B:$B,"not found",0)</f>
        <v>1</v>
      </c>
      <c r="K720" s="1">
        <f t="shared" si="100"/>
        <v>4</v>
      </c>
    </row>
    <row r="721" spans="1:11" hidden="1" x14ac:dyDescent="0.3">
      <c r="A721" t="s">
        <v>727</v>
      </c>
      <c r="B721">
        <v>2</v>
      </c>
      <c r="F721">
        <v>0</v>
      </c>
      <c r="G721">
        <v>0</v>
      </c>
      <c r="H721">
        <v>2</v>
      </c>
      <c r="I721">
        <f t="shared" si="98"/>
        <v>2</v>
      </c>
      <c r="J721" t="str">
        <f>_xlfn.XLOOKUP(A721,'[1]Point of Sale Analysis'!$A:$A,'[1]Point of Sale Analysis'!$B:$B,"not found",0)</f>
        <v>not found</v>
      </c>
    </row>
    <row r="722" spans="1:11" x14ac:dyDescent="0.3">
      <c r="A722" s="1" t="s">
        <v>728</v>
      </c>
      <c r="B722" s="1"/>
      <c r="C722" s="1">
        <v>1</v>
      </c>
      <c r="D722" s="1"/>
      <c r="E722" s="1"/>
      <c r="F722" s="1">
        <v>6</v>
      </c>
      <c r="G722" s="1">
        <v>1</v>
      </c>
      <c r="H722" s="1">
        <v>0</v>
      </c>
      <c r="I722" s="1">
        <f t="shared" si="98"/>
        <v>1</v>
      </c>
      <c r="J722" s="1">
        <f>_xlfn.XLOOKUP(A722,'[1]Point of Sale Analysis'!$A:$A,'[1]Point of Sale Analysis'!$B:$B,"not found",0)</f>
        <v>2</v>
      </c>
      <c r="K722" s="1">
        <f>ABS(J722-I722)</f>
        <v>1</v>
      </c>
    </row>
    <row r="723" spans="1:11" hidden="1" x14ac:dyDescent="0.3">
      <c r="A723" t="s">
        <v>729</v>
      </c>
      <c r="E723">
        <v>1</v>
      </c>
      <c r="F723">
        <v>6</v>
      </c>
      <c r="G723">
        <v>1</v>
      </c>
      <c r="H723">
        <v>0</v>
      </c>
      <c r="I723">
        <f t="shared" si="98"/>
        <v>1</v>
      </c>
      <c r="J723" t="str">
        <f>_xlfn.XLOOKUP(A723,'[1]Point of Sale Analysis'!$A:$A,'[1]Point of Sale Analysis'!$B:$B,"not found",0)</f>
        <v>not found</v>
      </c>
    </row>
    <row r="724" spans="1:11" x14ac:dyDescent="0.3">
      <c r="A724" s="1" t="s">
        <v>730</v>
      </c>
      <c r="B724" s="1"/>
      <c r="C724" s="1"/>
      <c r="D724" s="1"/>
      <c r="E724" s="1">
        <v>3</v>
      </c>
      <c r="F724" s="1">
        <v>20</v>
      </c>
      <c r="G724" s="1">
        <v>3</v>
      </c>
      <c r="H724" s="1">
        <v>0</v>
      </c>
      <c r="I724" s="1">
        <f t="shared" si="98"/>
        <v>3</v>
      </c>
      <c r="J724" s="1">
        <f>_xlfn.XLOOKUP(A724,'[1]Point of Sale Analysis'!$A:$A,'[1]Point of Sale Analysis'!$B:$B,"not found",0)</f>
        <v>1</v>
      </c>
      <c r="K724" s="1">
        <f>ABS(J724-I724)</f>
        <v>2</v>
      </c>
    </row>
    <row r="725" spans="1:11" hidden="1" x14ac:dyDescent="0.3">
      <c r="A725" t="s">
        <v>731</v>
      </c>
      <c r="B725">
        <v>1</v>
      </c>
      <c r="C725">
        <v>1</v>
      </c>
      <c r="F725">
        <v>0</v>
      </c>
      <c r="G725">
        <v>1</v>
      </c>
      <c r="H725">
        <v>0</v>
      </c>
      <c r="I725">
        <f t="shared" si="98"/>
        <v>1</v>
      </c>
      <c r="J725" t="str">
        <f>_xlfn.XLOOKUP(A725,'[1]Point of Sale Analysis'!$A:$A,'[1]Point of Sale Analysis'!$B:$B,"not found",0)</f>
        <v>not found</v>
      </c>
    </row>
    <row r="726" spans="1:11" hidden="1" x14ac:dyDescent="0.3">
      <c r="A726" t="s">
        <v>732</v>
      </c>
      <c r="B726">
        <v>1</v>
      </c>
      <c r="C726">
        <v>2</v>
      </c>
      <c r="D726">
        <v>1</v>
      </c>
      <c r="F726">
        <v>5</v>
      </c>
      <c r="G726">
        <v>2</v>
      </c>
      <c r="H726">
        <v>0</v>
      </c>
      <c r="I726">
        <f t="shared" si="98"/>
        <v>2</v>
      </c>
      <c r="J726" t="str">
        <f>_xlfn.XLOOKUP(A726,'[1]Point of Sale Analysis'!$A:$A,'[1]Point of Sale Analysis'!$B:$B,"not found",0)</f>
        <v>not found</v>
      </c>
    </row>
    <row r="727" spans="1:11" hidden="1" x14ac:dyDescent="0.3">
      <c r="A727" t="s">
        <v>733</v>
      </c>
      <c r="B727">
        <v>3</v>
      </c>
      <c r="C727">
        <v>2</v>
      </c>
      <c r="F727">
        <v>0</v>
      </c>
      <c r="G727">
        <v>0</v>
      </c>
      <c r="H727">
        <v>2</v>
      </c>
      <c r="I727">
        <f t="shared" si="98"/>
        <v>2</v>
      </c>
      <c r="J727" t="str">
        <f>_xlfn.XLOOKUP(A727,'[1]Point of Sale Analysis'!$A:$A,'[1]Point of Sale Analysis'!$B:$B,"not found",0)</f>
        <v>not found</v>
      </c>
    </row>
    <row r="728" spans="1:11" hidden="1" x14ac:dyDescent="0.3">
      <c r="A728" t="s">
        <v>734</v>
      </c>
      <c r="C728">
        <v>1</v>
      </c>
      <c r="F728">
        <v>0</v>
      </c>
      <c r="G728">
        <v>2</v>
      </c>
      <c r="H728">
        <v>0</v>
      </c>
      <c r="I728">
        <f t="shared" si="98"/>
        <v>2</v>
      </c>
      <c r="J728" t="str">
        <f>_xlfn.XLOOKUP(A728,'[1]Point of Sale Analysis'!$A:$A,'[1]Point of Sale Analysis'!$B:$B,"not found",0)</f>
        <v>not found</v>
      </c>
    </row>
    <row r="729" spans="1:11" hidden="1" x14ac:dyDescent="0.3">
      <c r="A729" t="s">
        <v>735</v>
      </c>
      <c r="B729">
        <v>2</v>
      </c>
      <c r="C729">
        <v>1</v>
      </c>
      <c r="E729">
        <v>2</v>
      </c>
      <c r="F729">
        <v>0</v>
      </c>
      <c r="G729">
        <v>4</v>
      </c>
      <c r="H729">
        <v>0</v>
      </c>
      <c r="I729">
        <f t="shared" si="98"/>
        <v>4</v>
      </c>
      <c r="J729" t="str">
        <f>_xlfn.XLOOKUP(A729,'[1]Point of Sale Analysis'!$A:$A,'[1]Point of Sale Analysis'!$B:$B,"not found",0)</f>
        <v>not found</v>
      </c>
    </row>
    <row r="730" spans="1:11" x14ac:dyDescent="0.3">
      <c r="A730" s="1" t="s">
        <v>736</v>
      </c>
      <c r="B730" s="1">
        <v>2</v>
      </c>
      <c r="C730" s="1">
        <v>2</v>
      </c>
      <c r="D730" s="1">
        <v>1</v>
      </c>
      <c r="E730" s="1">
        <v>3</v>
      </c>
      <c r="F730" s="1">
        <v>0</v>
      </c>
      <c r="G730" s="1">
        <v>1</v>
      </c>
      <c r="H730" s="1">
        <v>1</v>
      </c>
      <c r="I730" s="1">
        <f t="shared" si="98"/>
        <v>2</v>
      </c>
      <c r="J730" s="1">
        <f>_xlfn.XLOOKUP(A730,'[1]Point of Sale Analysis'!$A:$A,'[1]Point of Sale Analysis'!$B:$B,"not found",0)</f>
        <v>2</v>
      </c>
      <c r="K730" s="1">
        <f>ABS(J730-I730)</f>
        <v>0</v>
      </c>
    </row>
    <row r="731" spans="1:11" hidden="1" x14ac:dyDescent="0.3">
      <c r="A731" t="s">
        <v>737</v>
      </c>
      <c r="B731">
        <v>2</v>
      </c>
      <c r="C731">
        <v>2</v>
      </c>
      <c r="F731">
        <v>0</v>
      </c>
      <c r="G731">
        <v>0</v>
      </c>
      <c r="H731">
        <v>2</v>
      </c>
      <c r="I731">
        <f t="shared" si="98"/>
        <v>2</v>
      </c>
      <c r="J731" t="str">
        <f>_xlfn.XLOOKUP(A731,'[1]Point of Sale Analysis'!$A:$A,'[1]Point of Sale Analysis'!$B:$B,"not found",0)</f>
        <v>not found</v>
      </c>
    </row>
    <row r="732" spans="1:11" hidden="1" x14ac:dyDescent="0.3">
      <c r="A732" t="s">
        <v>738</v>
      </c>
      <c r="B732">
        <v>1</v>
      </c>
      <c r="C732">
        <v>3</v>
      </c>
      <c r="F732">
        <v>2</v>
      </c>
      <c r="G732">
        <v>2</v>
      </c>
      <c r="H732">
        <v>0</v>
      </c>
      <c r="I732">
        <f t="shared" si="98"/>
        <v>2</v>
      </c>
      <c r="J732" t="str">
        <f>_xlfn.XLOOKUP(A732,'[1]Point of Sale Analysis'!$A:$A,'[1]Point of Sale Analysis'!$B:$B,"not found",0)</f>
        <v>not found</v>
      </c>
    </row>
    <row r="733" spans="1:11" hidden="1" x14ac:dyDescent="0.3">
      <c r="A733" t="s">
        <v>739</v>
      </c>
      <c r="B733">
        <v>1</v>
      </c>
      <c r="F733">
        <v>4</v>
      </c>
      <c r="G733">
        <v>1</v>
      </c>
      <c r="H733">
        <v>0</v>
      </c>
      <c r="I733">
        <f t="shared" si="98"/>
        <v>1</v>
      </c>
      <c r="J733" t="str">
        <f>_xlfn.XLOOKUP(A733,'[1]Point of Sale Analysis'!$A:$A,'[1]Point of Sale Analysis'!$B:$B,"not found",0)</f>
        <v>not found</v>
      </c>
    </row>
    <row r="734" spans="1:11" x14ac:dyDescent="0.3">
      <c r="A734" s="1" t="s">
        <v>740</v>
      </c>
      <c r="B734" s="1">
        <v>5</v>
      </c>
      <c r="C734" s="1">
        <v>5</v>
      </c>
      <c r="D734" s="1">
        <v>7</v>
      </c>
      <c r="E734" s="1">
        <v>5</v>
      </c>
      <c r="F734" s="1">
        <v>30</v>
      </c>
      <c r="G734" s="1">
        <v>1</v>
      </c>
      <c r="H734" s="1">
        <v>4</v>
      </c>
      <c r="I734" s="1">
        <f t="shared" si="98"/>
        <v>5</v>
      </c>
      <c r="J734" s="1">
        <f>_xlfn.XLOOKUP(A734,'[1]Point of Sale Analysis'!$A:$A,'[1]Point of Sale Analysis'!$B:$B,"not found",0)</f>
        <v>6</v>
      </c>
      <c r="K734" s="1">
        <f t="shared" ref="K734:K735" si="101">ABS(J734-I734)</f>
        <v>1</v>
      </c>
    </row>
    <row r="735" spans="1:11" x14ac:dyDescent="0.3">
      <c r="A735" s="1" t="s">
        <v>741</v>
      </c>
      <c r="B735" s="1"/>
      <c r="C735" s="1"/>
      <c r="D735" s="1"/>
      <c r="E735" s="1">
        <v>2</v>
      </c>
      <c r="F735" s="1">
        <v>31</v>
      </c>
      <c r="G735" s="1">
        <v>8</v>
      </c>
      <c r="H735" s="1">
        <v>0</v>
      </c>
      <c r="I735" s="1">
        <f t="shared" si="98"/>
        <v>8</v>
      </c>
      <c r="J735" s="1">
        <f>_xlfn.XLOOKUP(A735,'[1]Point of Sale Analysis'!$A:$A,'[1]Point of Sale Analysis'!$B:$B,"not found",0)</f>
        <v>1</v>
      </c>
      <c r="K735" s="1">
        <f t="shared" si="101"/>
        <v>7</v>
      </c>
    </row>
    <row r="736" spans="1:11" hidden="1" x14ac:dyDescent="0.3">
      <c r="A736" t="s">
        <v>742</v>
      </c>
      <c r="B736">
        <v>1</v>
      </c>
      <c r="F736">
        <v>36</v>
      </c>
      <c r="G736">
        <v>0</v>
      </c>
      <c r="H736">
        <v>1</v>
      </c>
      <c r="I736">
        <f t="shared" si="98"/>
        <v>1</v>
      </c>
      <c r="J736" t="str">
        <f>_xlfn.XLOOKUP(A736,'[1]Point of Sale Analysis'!$A:$A,'[1]Point of Sale Analysis'!$B:$B,"not found",0)</f>
        <v>not found</v>
      </c>
    </row>
    <row r="737" spans="1:11" hidden="1" x14ac:dyDescent="0.3">
      <c r="A737" t="s">
        <v>743</v>
      </c>
      <c r="B737">
        <v>3</v>
      </c>
      <c r="C737">
        <v>3</v>
      </c>
      <c r="E737">
        <v>1</v>
      </c>
      <c r="F737">
        <v>6</v>
      </c>
      <c r="G737">
        <v>2</v>
      </c>
      <c r="H737">
        <v>1</v>
      </c>
      <c r="I737">
        <f t="shared" si="98"/>
        <v>3</v>
      </c>
      <c r="J737" t="str">
        <f>_xlfn.XLOOKUP(A737,'[1]Point of Sale Analysis'!$A:$A,'[1]Point of Sale Analysis'!$B:$B,"not found",0)</f>
        <v>not found</v>
      </c>
    </row>
    <row r="738" spans="1:11" hidden="1" x14ac:dyDescent="0.3">
      <c r="A738" t="s">
        <v>744</v>
      </c>
      <c r="B738">
        <v>1</v>
      </c>
      <c r="C738">
        <v>1</v>
      </c>
      <c r="D738">
        <v>1</v>
      </c>
      <c r="F738">
        <v>4</v>
      </c>
      <c r="G738">
        <v>3</v>
      </c>
      <c r="H738">
        <v>0</v>
      </c>
      <c r="I738">
        <f t="shared" si="98"/>
        <v>3</v>
      </c>
      <c r="J738" t="str">
        <f>_xlfn.XLOOKUP(A738,'[1]Point of Sale Analysis'!$A:$A,'[1]Point of Sale Analysis'!$B:$B,"not found",0)</f>
        <v>not found</v>
      </c>
    </row>
    <row r="739" spans="1:11" x14ac:dyDescent="0.3">
      <c r="A739" s="1" t="s">
        <v>745</v>
      </c>
      <c r="B739" s="1">
        <v>2</v>
      </c>
      <c r="C739" s="1">
        <v>5</v>
      </c>
      <c r="D739" s="1">
        <v>5</v>
      </c>
      <c r="E739" s="1">
        <v>8</v>
      </c>
      <c r="F739" s="1">
        <v>47</v>
      </c>
      <c r="G739" s="1">
        <v>5</v>
      </c>
      <c r="H739" s="1">
        <v>0</v>
      </c>
      <c r="I739" s="1">
        <f t="shared" si="98"/>
        <v>5</v>
      </c>
      <c r="J739" s="1">
        <f>_xlfn.XLOOKUP(A739,'[1]Point of Sale Analysis'!$A:$A,'[1]Point of Sale Analysis'!$B:$B,"not found",0)</f>
        <v>3</v>
      </c>
      <c r="K739" s="1">
        <f>ABS(J739-I739)</f>
        <v>2</v>
      </c>
    </row>
    <row r="740" spans="1:11" hidden="1" x14ac:dyDescent="0.3">
      <c r="A740" t="s">
        <v>746</v>
      </c>
      <c r="B740">
        <v>1</v>
      </c>
      <c r="F740">
        <v>9</v>
      </c>
      <c r="G740">
        <v>0</v>
      </c>
      <c r="H740">
        <v>1</v>
      </c>
      <c r="I740">
        <f t="shared" si="98"/>
        <v>1</v>
      </c>
      <c r="J740" t="str">
        <f>_xlfn.XLOOKUP(A740,'[1]Point of Sale Analysis'!$A:$A,'[1]Point of Sale Analysis'!$B:$B,"not found",0)</f>
        <v>not found</v>
      </c>
    </row>
    <row r="741" spans="1:11" hidden="1" x14ac:dyDescent="0.3">
      <c r="A741" t="s">
        <v>747</v>
      </c>
      <c r="B741">
        <v>1</v>
      </c>
      <c r="C741">
        <v>1</v>
      </c>
      <c r="D741">
        <v>1</v>
      </c>
      <c r="F741">
        <v>7</v>
      </c>
      <c r="G741">
        <v>3</v>
      </c>
      <c r="H741">
        <v>0</v>
      </c>
      <c r="I741">
        <f t="shared" si="98"/>
        <v>3</v>
      </c>
      <c r="J741" t="str">
        <f>_xlfn.XLOOKUP(A741,'[1]Point of Sale Analysis'!$A:$A,'[1]Point of Sale Analysis'!$B:$B,"not found",0)</f>
        <v>not found</v>
      </c>
    </row>
    <row r="742" spans="1:11" hidden="1" x14ac:dyDescent="0.3">
      <c r="A742" t="s">
        <v>748</v>
      </c>
      <c r="B742">
        <v>2</v>
      </c>
      <c r="E742">
        <v>1</v>
      </c>
      <c r="F742">
        <v>64</v>
      </c>
      <c r="G742">
        <v>5</v>
      </c>
      <c r="H742">
        <v>0</v>
      </c>
      <c r="I742">
        <f t="shared" si="98"/>
        <v>5</v>
      </c>
      <c r="J742" t="str">
        <f>_xlfn.XLOOKUP(A742,'[1]Point of Sale Analysis'!$A:$A,'[1]Point of Sale Analysis'!$B:$B,"not found",0)</f>
        <v>not found</v>
      </c>
    </row>
    <row r="743" spans="1:11" hidden="1" x14ac:dyDescent="0.3">
      <c r="A743" t="s">
        <v>749</v>
      </c>
      <c r="B743">
        <v>1</v>
      </c>
      <c r="F743">
        <v>11</v>
      </c>
      <c r="G743">
        <v>0</v>
      </c>
      <c r="H743">
        <v>1</v>
      </c>
      <c r="I743">
        <f t="shared" si="98"/>
        <v>1</v>
      </c>
      <c r="J743" t="str">
        <f>_xlfn.XLOOKUP(A743,'[1]Point of Sale Analysis'!$A:$A,'[1]Point of Sale Analysis'!$B:$B,"not found",0)</f>
        <v>not found</v>
      </c>
    </row>
    <row r="744" spans="1:11" hidden="1" x14ac:dyDescent="0.3">
      <c r="A744" t="s">
        <v>750</v>
      </c>
      <c r="B744">
        <v>3</v>
      </c>
      <c r="C744">
        <v>1</v>
      </c>
      <c r="F744">
        <v>0</v>
      </c>
      <c r="G744">
        <v>0</v>
      </c>
      <c r="H744">
        <v>2</v>
      </c>
      <c r="I744">
        <f t="shared" si="98"/>
        <v>2</v>
      </c>
      <c r="J744" t="str">
        <f>_xlfn.XLOOKUP(A744,'[1]Point of Sale Analysis'!$A:$A,'[1]Point of Sale Analysis'!$B:$B,"not found",0)</f>
        <v>not found</v>
      </c>
    </row>
    <row r="745" spans="1:11" x14ac:dyDescent="0.3">
      <c r="A745" s="1" t="s">
        <v>751</v>
      </c>
      <c r="B745" s="1"/>
      <c r="C745" s="1"/>
      <c r="D745" s="1"/>
      <c r="E745" s="1">
        <v>9</v>
      </c>
      <c r="F745" s="1">
        <v>51</v>
      </c>
      <c r="G745" s="1">
        <v>7</v>
      </c>
      <c r="H745" s="1">
        <v>2</v>
      </c>
      <c r="I745" s="1">
        <f t="shared" si="98"/>
        <v>9</v>
      </c>
      <c r="J745" s="1">
        <f>_xlfn.XLOOKUP(A745,'[1]Point of Sale Analysis'!$A:$A,'[1]Point of Sale Analysis'!$B:$B,"not found",0)</f>
        <v>2</v>
      </c>
      <c r="K745" s="1">
        <f t="shared" ref="K745:K746" si="102">ABS(J745-I745)</f>
        <v>7</v>
      </c>
    </row>
    <row r="746" spans="1:11" x14ac:dyDescent="0.3">
      <c r="A746" s="1" t="s">
        <v>752</v>
      </c>
      <c r="B746" s="1">
        <v>22</v>
      </c>
      <c r="C746" s="1"/>
      <c r="D746" s="1"/>
      <c r="E746" s="1">
        <v>15</v>
      </c>
      <c r="F746" s="1">
        <v>0</v>
      </c>
      <c r="G746" s="1">
        <v>-3</v>
      </c>
      <c r="H746" s="1">
        <v>21</v>
      </c>
      <c r="I746" s="1">
        <f t="shared" si="98"/>
        <v>18</v>
      </c>
      <c r="J746" s="1">
        <f>_xlfn.XLOOKUP(A746,'[1]Point of Sale Analysis'!$A:$A,'[1]Point of Sale Analysis'!$B:$B,"not found",0)</f>
        <v>3</v>
      </c>
      <c r="K746" s="1">
        <f t="shared" si="102"/>
        <v>15</v>
      </c>
    </row>
    <row r="747" spans="1:11" hidden="1" x14ac:dyDescent="0.3">
      <c r="A747" t="s">
        <v>753</v>
      </c>
      <c r="B747">
        <v>28</v>
      </c>
      <c r="C747">
        <v>25</v>
      </c>
      <c r="D747">
        <v>38</v>
      </c>
      <c r="E747">
        <v>9</v>
      </c>
      <c r="F747">
        <v>12</v>
      </c>
      <c r="G747">
        <v>14</v>
      </c>
      <c r="H747">
        <v>12</v>
      </c>
      <c r="I747">
        <f t="shared" si="98"/>
        <v>26</v>
      </c>
      <c r="J747" t="str">
        <f>_xlfn.XLOOKUP(A747,'[1]Point of Sale Analysis'!$A:$A,'[1]Point of Sale Analysis'!$B:$B,"not found",0)</f>
        <v>not found</v>
      </c>
    </row>
    <row r="748" spans="1:11" x14ac:dyDescent="0.3">
      <c r="A748" s="1" t="s">
        <v>754</v>
      </c>
      <c r="B748" s="1">
        <v>27</v>
      </c>
      <c r="C748" s="1">
        <v>39</v>
      </c>
      <c r="D748" s="1">
        <v>14</v>
      </c>
      <c r="E748" s="1">
        <v>22</v>
      </c>
      <c r="F748" s="1">
        <v>16</v>
      </c>
      <c r="G748" s="1">
        <v>14</v>
      </c>
      <c r="H748" s="1">
        <v>10</v>
      </c>
      <c r="I748" s="1">
        <f t="shared" si="98"/>
        <v>24</v>
      </c>
      <c r="J748" s="1">
        <f>_xlfn.XLOOKUP(A748,'[1]Point of Sale Analysis'!$A:$A,'[1]Point of Sale Analysis'!$B:$B,"not found",0)</f>
        <v>23</v>
      </c>
      <c r="K748" s="1">
        <f t="shared" ref="K748:K750" si="103">ABS(J748-I748)</f>
        <v>1</v>
      </c>
    </row>
    <row r="749" spans="1:11" x14ac:dyDescent="0.3">
      <c r="A749" s="1" t="s">
        <v>755</v>
      </c>
      <c r="B749" s="1">
        <v>43</v>
      </c>
      <c r="C749" s="1">
        <v>21</v>
      </c>
      <c r="D749" s="1">
        <v>47</v>
      </c>
      <c r="E749" s="1">
        <v>27</v>
      </c>
      <c r="F749" s="1">
        <v>0</v>
      </c>
      <c r="G749" s="1">
        <v>5</v>
      </c>
      <c r="H749" s="1">
        <v>30</v>
      </c>
      <c r="I749" s="1">
        <f t="shared" si="98"/>
        <v>35</v>
      </c>
      <c r="J749" s="1">
        <f>_xlfn.XLOOKUP(A749,'[1]Point of Sale Analysis'!$A:$A,'[1]Point of Sale Analysis'!$B:$B,"not found",0)</f>
        <v>18</v>
      </c>
      <c r="K749" s="1">
        <f t="shared" si="103"/>
        <v>17</v>
      </c>
    </row>
    <row r="750" spans="1:11" x14ac:dyDescent="0.3">
      <c r="A750" s="1" t="s">
        <v>756</v>
      </c>
      <c r="B750" s="1"/>
      <c r="C750" s="1"/>
      <c r="D750" s="1"/>
      <c r="E750" s="1">
        <v>8</v>
      </c>
      <c r="F750" s="1">
        <v>67</v>
      </c>
      <c r="G750" s="1">
        <v>6</v>
      </c>
      <c r="H750" s="1">
        <v>2</v>
      </c>
      <c r="I750" s="1">
        <f t="shared" si="98"/>
        <v>8</v>
      </c>
      <c r="J750" s="1">
        <f>_xlfn.XLOOKUP(A750,'[1]Point of Sale Analysis'!$A:$A,'[1]Point of Sale Analysis'!$B:$B,"not found",0)</f>
        <v>4</v>
      </c>
      <c r="K750" s="1">
        <f t="shared" si="103"/>
        <v>4</v>
      </c>
    </row>
    <row r="751" spans="1:11" hidden="1" x14ac:dyDescent="0.3">
      <c r="A751" t="s">
        <v>757</v>
      </c>
      <c r="B751">
        <v>1</v>
      </c>
      <c r="C751">
        <v>1</v>
      </c>
      <c r="D751">
        <v>4</v>
      </c>
      <c r="F751">
        <v>6</v>
      </c>
      <c r="G751">
        <v>1</v>
      </c>
      <c r="H751">
        <v>0</v>
      </c>
      <c r="I751">
        <f t="shared" si="98"/>
        <v>1</v>
      </c>
      <c r="J751" t="str">
        <f>_xlfn.XLOOKUP(A751,'[1]Point of Sale Analysis'!$A:$A,'[1]Point of Sale Analysis'!$B:$B,"not found",0)</f>
        <v>not found</v>
      </c>
    </row>
    <row r="752" spans="1:11" x14ac:dyDescent="0.3">
      <c r="A752" s="1" t="s">
        <v>758</v>
      </c>
      <c r="B752" s="1"/>
      <c r="C752" s="1"/>
      <c r="D752" s="1"/>
      <c r="E752" s="1">
        <v>2</v>
      </c>
      <c r="F752" s="1">
        <v>12</v>
      </c>
      <c r="G752" s="1">
        <v>5</v>
      </c>
      <c r="H752" s="1">
        <v>0</v>
      </c>
      <c r="I752" s="1">
        <f t="shared" si="98"/>
        <v>5</v>
      </c>
      <c r="J752" s="1">
        <f>_xlfn.XLOOKUP(A752,'[1]Point of Sale Analysis'!$A:$A,'[1]Point of Sale Analysis'!$B:$B,"not found",0)</f>
        <v>4</v>
      </c>
      <c r="K752" s="1">
        <f>ABS(J752-I752)</f>
        <v>1</v>
      </c>
    </row>
    <row r="753" spans="1:11" hidden="1" x14ac:dyDescent="0.3">
      <c r="A753" t="s">
        <v>759</v>
      </c>
      <c r="E753">
        <v>1</v>
      </c>
      <c r="F753">
        <v>5</v>
      </c>
      <c r="G753">
        <v>4</v>
      </c>
      <c r="H753">
        <v>0</v>
      </c>
      <c r="I753">
        <f t="shared" si="98"/>
        <v>4</v>
      </c>
      <c r="J753" t="str">
        <f>_xlfn.XLOOKUP(A753,'[1]Point of Sale Analysis'!$A:$A,'[1]Point of Sale Analysis'!$B:$B,"not found",0)</f>
        <v>not found</v>
      </c>
    </row>
    <row r="754" spans="1:11" x14ac:dyDescent="0.3">
      <c r="A754" s="1" t="s">
        <v>760</v>
      </c>
      <c r="B754" s="1"/>
      <c r="C754" s="1"/>
      <c r="D754" s="1"/>
      <c r="E754" s="1">
        <v>1</v>
      </c>
      <c r="F754" s="1">
        <v>14</v>
      </c>
      <c r="G754" s="1">
        <v>6</v>
      </c>
      <c r="H754" s="1">
        <v>0</v>
      </c>
      <c r="I754" s="1">
        <f t="shared" si="98"/>
        <v>6</v>
      </c>
      <c r="J754" s="1">
        <f>_xlfn.XLOOKUP(A754,'[1]Point of Sale Analysis'!$A:$A,'[1]Point of Sale Analysis'!$B:$B,"not found",0)</f>
        <v>2</v>
      </c>
      <c r="K754" s="1">
        <f t="shared" ref="K754:K756" si="104">ABS(J754-I754)</f>
        <v>4</v>
      </c>
    </row>
    <row r="755" spans="1:11" x14ac:dyDescent="0.3">
      <c r="A755" s="1" t="s">
        <v>761</v>
      </c>
      <c r="B755" s="1">
        <v>4</v>
      </c>
      <c r="C755" s="1">
        <v>17</v>
      </c>
      <c r="D755" s="1">
        <v>11</v>
      </c>
      <c r="E755" s="1">
        <v>11</v>
      </c>
      <c r="F755" s="1">
        <v>37</v>
      </c>
      <c r="G755" s="1">
        <v>5</v>
      </c>
      <c r="H755" s="1">
        <v>6</v>
      </c>
      <c r="I755" s="1">
        <f t="shared" si="98"/>
        <v>11</v>
      </c>
      <c r="J755" s="1">
        <f>_xlfn.XLOOKUP(A755,'[1]Point of Sale Analysis'!$A:$A,'[1]Point of Sale Analysis'!$B:$B,"not found",0)</f>
        <v>2</v>
      </c>
      <c r="K755" s="1">
        <f t="shared" si="104"/>
        <v>9</v>
      </c>
    </row>
    <row r="756" spans="1:11" x14ac:dyDescent="0.3">
      <c r="A756" s="1" t="s">
        <v>762</v>
      </c>
      <c r="B756" s="1">
        <v>10</v>
      </c>
      <c r="C756" s="1">
        <v>4</v>
      </c>
      <c r="D756" s="1">
        <v>21</v>
      </c>
      <c r="E756" s="1">
        <v>3</v>
      </c>
      <c r="F756" s="1">
        <v>25</v>
      </c>
      <c r="G756" s="1">
        <v>0</v>
      </c>
      <c r="H756" s="1">
        <v>7</v>
      </c>
      <c r="I756" s="1">
        <f t="shared" si="98"/>
        <v>7</v>
      </c>
      <c r="J756" s="1">
        <f>_xlfn.XLOOKUP(A756,'[1]Point of Sale Analysis'!$A:$A,'[1]Point of Sale Analysis'!$B:$B,"not found",0)</f>
        <v>4</v>
      </c>
      <c r="K756" s="1">
        <f t="shared" si="104"/>
        <v>3</v>
      </c>
    </row>
    <row r="757" spans="1:11" hidden="1" x14ac:dyDescent="0.3">
      <c r="A757" t="s">
        <v>763</v>
      </c>
      <c r="E757">
        <v>1</v>
      </c>
      <c r="F757">
        <v>0</v>
      </c>
      <c r="G757">
        <v>1</v>
      </c>
      <c r="H757">
        <v>0</v>
      </c>
      <c r="I757">
        <f t="shared" si="98"/>
        <v>1</v>
      </c>
      <c r="J757" t="str">
        <f>_xlfn.XLOOKUP(A757,'[1]Point of Sale Analysis'!$A:$A,'[1]Point of Sale Analysis'!$B:$B,"not found",0)</f>
        <v>not found</v>
      </c>
    </row>
    <row r="758" spans="1:11" x14ac:dyDescent="0.3">
      <c r="A758" s="1" t="s">
        <v>764</v>
      </c>
      <c r="B758" s="1">
        <v>4</v>
      </c>
      <c r="C758" s="1">
        <v>3</v>
      </c>
      <c r="D758" s="1">
        <v>4</v>
      </c>
      <c r="E758" s="1">
        <v>1</v>
      </c>
      <c r="F758" s="1">
        <v>42</v>
      </c>
      <c r="G758" s="1">
        <v>5</v>
      </c>
      <c r="H758" s="1">
        <v>0</v>
      </c>
      <c r="I758" s="1">
        <f t="shared" si="98"/>
        <v>5</v>
      </c>
      <c r="J758" s="1">
        <f>_xlfn.XLOOKUP(A758,'[1]Point of Sale Analysis'!$A:$A,'[1]Point of Sale Analysis'!$B:$B,"not found",0)</f>
        <v>2</v>
      </c>
      <c r="K758" s="1">
        <f>ABS(J758-I758)</f>
        <v>3</v>
      </c>
    </row>
    <row r="759" spans="1:11" hidden="1" x14ac:dyDescent="0.3">
      <c r="A759" t="s">
        <v>765</v>
      </c>
      <c r="B759">
        <v>2</v>
      </c>
      <c r="F759">
        <v>0</v>
      </c>
      <c r="G759">
        <v>2</v>
      </c>
      <c r="H759">
        <v>0</v>
      </c>
      <c r="I759">
        <f t="shared" si="98"/>
        <v>2</v>
      </c>
      <c r="J759" t="str">
        <f>_xlfn.XLOOKUP(A759,'[1]Point of Sale Analysis'!$A:$A,'[1]Point of Sale Analysis'!$B:$B,"not found",0)</f>
        <v>not found</v>
      </c>
    </row>
    <row r="760" spans="1:11" x14ac:dyDescent="0.3">
      <c r="A760" s="1" t="s">
        <v>766</v>
      </c>
      <c r="B760" s="1"/>
      <c r="C760" s="1">
        <v>1</v>
      </c>
      <c r="D760" s="1"/>
      <c r="E760" s="1"/>
      <c r="F760" s="1">
        <v>0</v>
      </c>
      <c r="G760" s="1">
        <v>0</v>
      </c>
      <c r="H760" s="1">
        <v>1</v>
      </c>
      <c r="I760" s="1">
        <f t="shared" si="98"/>
        <v>1</v>
      </c>
      <c r="J760" s="1">
        <f>_xlfn.XLOOKUP(A760,'[1]Point of Sale Analysis'!$A:$A,'[1]Point of Sale Analysis'!$B:$B,"not found",0)</f>
        <v>1</v>
      </c>
      <c r="K760" s="1">
        <f>ABS(J760-I760)</f>
        <v>0</v>
      </c>
    </row>
    <row r="761" spans="1:11" hidden="1" x14ac:dyDescent="0.3">
      <c r="A761" t="s">
        <v>767</v>
      </c>
      <c r="B761">
        <v>4</v>
      </c>
      <c r="C761">
        <v>3</v>
      </c>
      <c r="D761">
        <v>3</v>
      </c>
      <c r="F761">
        <v>0</v>
      </c>
      <c r="G761">
        <v>1</v>
      </c>
      <c r="H761">
        <v>2</v>
      </c>
      <c r="I761">
        <f t="shared" si="98"/>
        <v>3</v>
      </c>
      <c r="J761" t="str">
        <f>_xlfn.XLOOKUP(A761,'[1]Point of Sale Analysis'!$A:$A,'[1]Point of Sale Analysis'!$B:$B,"not found",0)</f>
        <v>not found</v>
      </c>
    </row>
    <row r="762" spans="1:11" hidden="1" x14ac:dyDescent="0.3">
      <c r="A762" t="s">
        <v>768</v>
      </c>
      <c r="B762">
        <v>2</v>
      </c>
      <c r="D762">
        <v>1</v>
      </c>
      <c r="E762">
        <v>1</v>
      </c>
      <c r="F762">
        <v>0</v>
      </c>
      <c r="G762">
        <v>0</v>
      </c>
      <c r="H762">
        <v>1</v>
      </c>
      <c r="I762">
        <f t="shared" si="98"/>
        <v>1</v>
      </c>
      <c r="J762" t="str">
        <f>_xlfn.XLOOKUP(A762,'[1]Point of Sale Analysis'!$A:$A,'[1]Point of Sale Analysis'!$B:$B,"not found",0)</f>
        <v>not found</v>
      </c>
    </row>
    <row r="763" spans="1:11" x14ac:dyDescent="0.3">
      <c r="A763" s="1" t="s">
        <v>769</v>
      </c>
      <c r="B763" s="1">
        <v>3</v>
      </c>
      <c r="C763" s="1">
        <v>2</v>
      </c>
      <c r="D763" s="1"/>
      <c r="E763" s="1"/>
      <c r="F763" s="1">
        <v>0</v>
      </c>
      <c r="G763" s="1">
        <v>1</v>
      </c>
      <c r="H763" s="1">
        <v>1</v>
      </c>
      <c r="I763" s="1">
        <f t="shared" si="98"/>
        <v>2</v>
      </c>
      <c r="J763" s="1">
        <f>_xlfn.XLOOKUP(A763,'[1]Point of Sale Analysis'!$A:$A,'[1]Point of Sale Analysis'!$B:$B,"not found",0)</f>
        <v>1</v>
      </c>
      <c r="K763" s="1">
        <f t="shared" ref="K763:K764" si="105">ABS(J763-I763)</f>
        <v>1</v>
      </c>
    </row>
    <row r="764" spans="1:11" x14ac:dyDescent="0.3">
      <c r="A764" s="1" t="s">
        <v>770</v>
      </c>
      <c r="B764" s="1"/>
      <c r="C764" s="1"/>
      <c r="D764" s="1">
        <v>1</v>
      </c>
      <c r="E764" s="1"/>
      <c r="F764" s="1">
        <v>0</v>
      </c>
      <c r="G764" s="1">
        <v>3</v>
      </c>
      <c r="H764" s="1">
        <v>0</v>
      </c>
      <c r="I764" s="1">
        <f t="shared" si="98"/>
        <v>3</v>
      </c>
      <c r="J764" s="1">
        <f>_xlfn.XLOOKUP(A764,'[1]Point of Sale Analysis'!$A:$A,'[1]Point of Sale Analysis'!$B:$B,"not found",0)</f>
        <v>1</v>
      </c>
      <c r="K764" s="1">
        <f t="shared" si="105"/>
        <v>2</v>
      </c>
    </row>
    <row r="765" spans="1:11" hidden="1" x14ac:dyDescent="0.3">
      <c r="A765" t="s">
        <v>771</v>
      </c>
      <c r="B765">
        <v>1</v>
      </c>
      <c r="C765">
        <v>1</v>
      </c>
      <c r="F765">
        <v>0</v>
      </c>
      <c r="G765">
        <v>1</v>
      </c>
      <c r="H765">
        <v>0</v>
      </c>
      <c r="I765">
        <f t="shared" si="98"/>
        <v>1</v>
      </c>
      <c r="J765" t="str">
        <f>_xlfn.XLOOKUP(A765,'[1]Point of Sale Analysis'!$A:$A,'[1]Point of Sale Analysis'!$B:$B,"not found",0)</f>
        <v>not found</v>
      </c>
    </row>
    <row r="766" spans="1:11" hidden="1" x14ac:dyDescent="0.3">
      <c r="A766" t="s">
        <v>772</v>
      </c>
      <c r="B766">
        <v>1</v>
      </c>
      <c r="F766">
        <v>0</v>
      </c>
      <c r="G766">
        <v>1</v>
      </c>
      <c r="H766">
        <v>0</v>
      </c>
      <c r="I766">
        <f t="shared" si="98"/>
        <v>1</v>
      </c>
      <c r="J766" t="str">
        <f>_xlfn.XLOOKUP(A766,'[1]Point of Sale Analysis'!$A:$A,'[1]Point of Sale Analysis'!$B:$B,"not found",0)</f>
        <v>not found</v>
      </c>
    </row>
    <row r="767" spans="1:11" hidden="1" x14ac:dyDescent="0.3">
      <c r="A767" t="s">
        <v>773</v>
      </c>
      <c r="D767">
        <v>1</v>
      </c>
      <c r="E767">
        <v>1</v>
      </c>
      <c r="F767">
        <v>0</v>
      </c>
      <c r="G767">
        <v>1</v>
      </c>
      <c r="H767">
        <v>0</v>
      </c>
      <c r="I767">
        <f t="shared" si="98"/>
        <v>1</v>
      </c>
      <c r="J767" t="str">
        <f>_xlfn.XLOOKUP(A767,'[1]Point of Sale Analysis'!$A:$A,'[1]Point of Sale Analysis'!$B:$B,"not found",0)</f>
        <v>not found</v>
      </c>
    </row>
    <row r="768" spans="1:11" hidden="1" x14ac:dyDescent="0.3">
      <c r="A768" t="s">
        <v>774</v>
      </c>
      <c r="B768">
        <v>2</v>
      </c>
      <c r="F768">
        <v>0</v>
      </c>
      <c r="G768">
        <v>1</v>
      </c>
      <c r="H768">
        <v>1</v>
      </c>
      <c r="I768">
        <f t="shared" si="98"/>
        <v>2</v>
      </c>
      <c r="J768" t="str">
        <f>_xlfn.XLOOKUP(A768,'[1]Point of Sale Analysis'!$A:$A,'[1]Point of Sale Analysis'!$B:$B,"not found",0)</f>
        <v>not found</v>
      </c>
    </row>
    <row r="769" spans="1:11" hidden="1" x14ac:dyDescent="0.3">
      <c r="A769" t="s">
        <v>775</v>
      </c>
      <c r="B769">
        <v>3</v>
      </c>
      <c r="C769">
        <v>2</v>
      </c>
      <c r="D769">
        <v>1</v>
      </c>
      <c r="F769">
        <v>0</v>
      </c>
      <c r="G769">
        <v>1</v>
      </c>
      <c r="H769">
        <v>1</v>
      </c>
      <c r="I769">
        <f t="shared" si="98"/>
        <v>2</v>
      </c>
      <c r="J769" t="str">
        <f>_xlfn.XLOOKUP(A769,'[1]Point of Sale Analysis'!$A:$A,'[1]Point of Sale Analysis'!$B:$B,"not found",0)</f>
        <v>not found</v>
      </c>
    </row>
    <row r="770" spans="1:11" hidden="1" x14ac:dyDescent="0.3">
      <c r="A770" t="s">
        <v>776</v>
      </c>
      <c r="B770">
        <v>6</v>
      </c>
      <c r="C770">
        <v>3</v>
      </c>
      <c r="D770">
        <v>3</v>
      </c>
      <c r="E770">
        <v>2</v>
      </c>
      <c r="F770">
        <v>0</v>
      </c>
      <c r="G770">
        <v>4</v>
      </c>
      <c r="H770">
        <v>0</v>
      </c>
      <c r="I770">
        <f t="shared" si="98"/>
        <v>4</v>
      </c>
      <c r="J770" t="str">
        <f>_xlfn.XLOOKUP(A770,'[1]Point of Sale Analysis'!$A:$A,'[1]Point of Sale Analysis'!$B:$B,"not found",0)</f>
        <v>not found</v>
      </c>
    </row>
    <row r="771" spans="1:11" hidden="1" x14ac:dyDescent="0.3">
      <c r="A771" t="s">
        <v>777</v>
      </c>
      <c r="B771">
        <v>1</v>
      </c>
      <c r="C771">
        <v>1</v>
      </c>
      <c r="E771">
        <v>1</v>
      </c>
      <c r="F771">
        <v>0</v>
      </c>
      <c r="G771">
        <v>3</v>
      </c>
      <c r="H771">
        <v>0</v>
      </c>
      <c r="I771">
        <f t="shared" ref="I771:I834" si="106">G771+H771</f>
        <v>3</v>
      </c>
      <c r="J771" t="str">
        <f>_xlfn.XLOOKUP(A771,'[1]Point of Sale Analysis'!$A:$A,'[1]Point of Sale Analysis'!$B:$B,"not found",0)</f>
        <v>not found</v>
      </c>
    </row>
    <row r="772" spans="1:11" hidden="1" x14ac:dyDescent="0.3">
      <c r="A772" t="s">
        <v>778</v>
      </c>
      <c r="B772">
        <v>2</v>
      </c>
      <c r="C772">
        <v>1</v>
      </c>
      <c r="F772">
        <v>0</v>
      </c>
      <c r="G772">
        <v>3</v>
      </c>
      <c r="H772">
        <v>0</v>
      </c>
      <c r="I772">
        <f t="shared" si="106"/>
        <v>3</v>
      </c>
      <c r="J772" t="str">
        <f>_xlfn.XLOOKUP(A772,'[1]Point of Sale Analysis'!$A:$A,'[1]Point of Sale Analysis'!$B:$B,"not found",0)</f>
        <v>not found</v>
      </c>
    </row>
    <row r="773" spans="1:11" hidden="1" x14ac:dyDescent="0.3">
      <c r="A773" t="s">
        <v>779</v>
      </c>
      <c r="B773">
        <v>2</v>
      </c>
      <c r="F773">
        <v>0</v>
      </c>
      <c r="G773">
        <v>1</v>
      </c>
      <c r="H773">
        <v>1</v>
      </c>
      <c r="I773">
        <f t="shared" si="106"/>
        <v>2</v>
      </c>
      <c r="J773" t="str">
        <f>_xlfn.XLOOKUP(A773,'[1]Point of Sale Analysis'!$A:$A,'[1]Point of Sale Analysis'!$B:$B,"not found",0)</f>
        <v>not found</v>
      </c>
    </row>
    <row r="774" spans="1:11" hidden="1" x14ac:dyDescent="0.3">
      <c r="A774" t="s">
        <v>780</v>
      </c>
      <c r="B774">
        <v>1</v>
      </c>
      <c r="D774">
        <v>1</v>
      </c>
      <c r="F774">
        <v>8</v>
      </c>
      <c r="G774">
        <v>3</v>
      </c>
      <c r="H774">
        <v>0</v>
      </c>
      <c r="I774">
        <f t="shared" si="106"/>
        <v>3</v>
      </c>
      <c r="J774" t="str">
        <f>_xlfn.XLOOKUP(A774,'[1]Point of Sale Analysis'!$A:$A,'[1]Point of Sale Analysis'!$B:$B,"not found",0)</f>
        <v>not found</v>
      </c>
    </row>
    <row r="775" spans="1:11" x14ac:dyDescent="0.3">
      <c r="A775" s="1" t="s">
        <v>781</v>
      </c>
      <c r="B775" s="1">
        <v>3</v>
      </c>
      <c r="C775" s="1">
        <v>1</v>
      </c>
      <c r="D775" s="1">
        <v>1</v>
      </c>
      <c r="E775" s="1"/>
      <c r="F775" s="1">
        <v>4</v>
      </c>
      <c r="G775" s="1">
        <v>3</v>
      </c>
      <c r="H775" s="1">
        <v>0</v>
      </c>
      <c r="I775" s="1">
        <f t="shared" si="106"/>
        <v>3</v>
      </c>
      <c r="J775" s="1">
        <f>_xlfn.XLOOKUP(A775,'[1]Point of Sale Analysis'!$A:$A,'[1]Point of Sale Analysis'!$B:$B,"not found",0)</f>
        <v>1</v>
      </c>
      <c r="K775" s="1">
        <f>ABS(J775-I775)</f>
        <v>2</v>
      </c>
    </row>
    <row r="776" spans="1:11" hidden="1" x14ac:dyDescent="0.3">
      <c r="A776" t="s">
        <v>782</v>
      </c>
      <c r="B776">
        <v>3</v>
      </c>
      <c r="F776">
        <v>0</v>
      </c>
      <c r="G776">
        <v>1</v>
      </c>
      <c r="H776">
        <v>2</v>
      </c>
      <c r="I776">
        <f t="shared" si="106"/>
        <v>3</v>
      </c>
      <c r="J776" t="str">
        <f>_xlfn.XLOOKUP(A776,'[1]Point of Sale Analysis'!$A:$A,'[1]Point of Sale Analysis'!$B:$B,"not found",0)</f>
        <v>not found</v>
      </c>
    </row>
    <row r="777" spans="1:11" hidden="1" x14ac:dyDescent="0.3">
      <c r="A777" t="s">
        <v>783</v>
      </c>
      <c r="B777">
        <v>1</v>
      </c>
      <c r="C777">
        <v>1</v>
      </c>
      <c r="D777">
        <v>2</v>
      </c>
      <c r="F777">
        <v>0</v>
      </c>
      <c r="G777">
        <v>2</v>
      </c>
      <c r="H777">
        <v>0</v>
      </c>
      <c r="I777">
        <f t="shared" si="106"/>
        <v>2</v>
      </c>
      <c r="J777" t="str">
        <f>_xlfn.XLOOKUP(A777,'[1]Point of Sale Analysis'!$A:$A,'[1]Point of Sale Analysis'!$B:$B,"not found",0)</f>
        <v>not found</v>
      </c>
    </row>
    <row r="778" spans="1:11" hidden="1" x14ac:dyDescent="0.3">
      <c r="A778" t="s">
        <v>784</v>
      </c>
      <c r="B778">
        <v>15</v>
      </c>
      <c r="C778">
        <v>9</v>
      </c>
      <c r="D778">
        <v>18</v>
      </c>
      <c r="E778">
        <v>8</v>
      </c>
      <c r="F778">
        <v>32</v>
      </c>
      <c r="G778">
        <v>4</v>
      </c>
      <c r="H778">
        <v>8</v>
      </c>
      <c r="I778">
        <f t="shared" si="106"/>
        <v>12</v>
      </c>
      <c r="J778" t="str">
        <f>_xlfn.XLOOKUP(A778,'[1]Point of Sale Analysis'!$A:$A,'[1]Point of Sale Analysis'!$B:$B,"not found",0)</f>
        <v>not found</v>
      </c>
    </row>
    <row r="779" spans="1:11" hidden="1" x14ac:dyDescent="0.3">
      <c r="A779" t="s">
        <v>785</v>
      </c>
      <c r="E779">
        <v>5</v>
      </c>
      <c r="F779">
        <v>0</v>
      </c>
      <c r="G779">
        <v>1</v>
      </c>
      <c r="H779">
        <v>4</v>
      </c>
      <c r="I779">
        <f t="shared" si="106"/>
        <v>5</v>
      </c>
      <c r="J779" t="str">
        <f>_xlfn.XLOOKUP(A779,'[1]Point of Sale Analysis'!$A:$A,'[1]Point of Sale Analysis'!$B:$B,"not found",0)</f>
        <v>not found</v>
      </c>
    </row>
    <row r="780" spans="1:11" x14ac:dyDescent="0.3">
      <c r="A780" s="1" t="s">
        <v>786</v>
      </c>
      <c r="B780" s="1"/>
      <c r="C780" s="1"/>
      <c r="D780" s="1"/>
      <c r="E780" s="1">
        <v>1</v>
      </c>
      <c r="F780" s="1">
        <v>15</v>
      </c>
      <c r="G780" s="1">
        <v>1</v>
      </c>
      <c r="H780" s="1">
        <v>0</v>
      </c>
      <c r="I780" s="1">
        <f t="shared" si="106"/>
        <v>1</v>
      </c>
      <c r="J780" s="1">
        <f>_xlfn.XLOOKUP(A780,'[1]Point of Sale Analysis'!$A:$A,'[1]Point of Sale Analysis'!$B:$B,"not found",0)</f>
        <v>1</v>
      </c>
      <c r="K780" s="1">
        <f t="shared" ref="K780:K782" si="107">ABS(J780-I780)</f>
        <v>0</v>
      </c>
    </row>
    <row r="781" spans="1:11" x14ac:dyDescent="0.3">
      <c r="A781" s="1" t="s">
        <v>787</v>
      </c>
      <c r="B781" s="1"/>
      <c r="C781" s="1"/>
      <c r="D781" s="1"/>
      <c r="E781" s="1">
        <v>1</v>
      </c>
      <c r="F781" s="1">
        <v>42</v>
      </c>
      <c r="G781" s="1">
        <v>5</v>
      </c>
      <c r="H781" s="1">
        <v>0</v>
      </c>
      <c r="I781" s="1">
        <f t="shared" si="106"/>
        <v>5</v>
      </c>
      <c r="J781" s="1">
        <f>_xlfn.XLOOKUP(A781,'[1]Point of Sale Analysis'!$A:$A,'[1]Point of Sale Analysis'!$B:$B,"not found",0)</f>
        <v>2</v>
      </c>
      <c r="K781" s="1">
        <f t="shared" si="107"/>
        <v>3</v>
      </c>
    </row>
    <row r="782" spans="1:11" x14ac:dyDescent="0.3">
      <c r="A782" s="1" t="s">
        <v>788</v>
      </c>
      <c r="B782" s="1">
        <v>7</v>
      </c>
      <c r="C782" s="1">
        <v>3</v>
      </c>
      <c r="D782" s="1">
        <v>2</v>
      </c>
      <c r="E782" s="1"/>
      <c r="F782" s="1">
        <v>17</v>
      </c>
      <c r="G782" s="1">
        <v>6</v>
      </c>
      <c r="H782" s="1">
        <v>0</v>
      </c>
      <c r="I782" s="1">
        <f t="shared" si="106"/>
        <v>6</v>
      </c>
      <c r="J782" s="1">
        <f>_xlfn.XLOOKUP(A782,'[1]Point of Sale Analysis'!$A:$A,'[1]Point of Sale Analysis'!$B:$B,"not found",0)</f>
        <v>2</v>
      </c>
      <c r="K782" s="1">
        <f t="shared" si="107"/>
        <v>4</v>
      </c>
    </row>
    <row r="783" spans="1:11" hidden="1" x14ac:dyDescent="0.3">
      <c r="A783" t="s">
        <v>789</v>
      </c>
      <c r="E783">
        <v>3</v>
      </c>
      <c r="F783">
        <v>71</v>
      </c>
      <c r="G783">
        <v>6</v>
      </c>
      <c r="H783">
        <v>0</v>
      </c>
      <c r="I783">
        <f t="shared" si="106"/>
        <v>6</v>
      </c>
      <c r="J783" t="str">
        <f>_xlfn.XLOOKUP(A783,'[1]Point of Sale Analysis'!$A:$A,'[1]Point of Sale Analysis'!$B:$B,"not found",0)</f>
        <v>not found</v>
      </c>
    </row>
    <row r="784" spans="1:11" x14ac:dyDescent="0.3">
      <c r="A784" s="1" t="s">
        <v>790</v>
      </c>
      <c r="B784" s="1"/>
      <c r="C784" s="1"/>
      <c r="D784" s="1"/>
      <c r="E784" s="1">
        <v>4</v>
      </c>
      <c r="F784" s="1">
        <v>50</v>
      </c>
      <c r="G784" s="1">
        <v>5</v>
      </c>
      <c r="H784" s="1">
        <v>0</v>
      </c>
      <c r="I784" s="1">
        <f t="shared" si="106"/>
        <v>5</v>
      </c>
      <c r="J784" s="1">
        <f>_xlfn.XLOOKUP(A784,'[1]Point of Sale Analysis'!$A:$A,'[1]Point of Sale Analysis'!$B:$B,"not found",0)</f>
        <v>5</v>
      </c>
      <c r="K784" s="1">
        <f t="shared" ref="K784:K788" si="108">ABS(J784-I784)</f>
        <v>0</v>
      </c>
    </row>
    <row r="785" spans="1:11" x14ac:dyDescent="0.3">
      <c r="A785" s="1" t="s">
        <v>791</v>
      </c>
      <c r="B785" s="1">
        <v>10</v>
      </c>
      <c r="C785" s="1">
        <v>7</v>
      </c>
      <c r="D785" s="1">
        <v>7</v>
      </c>
      <c r="E785" s="1">
        <v>4</v>
      </c>
      <c r="F785" s="1">
        <v>20</v>
      </c>
      <c r="G785" s="1">
        <v>3</v>
      </c>
      <c r="H785" s="1">
        <v>4</v>
      </c>
      <c r="I785" s="1">
        <f t="shared" si="106"/>
        <v>7</v>
      </c>
      <c r="J785" s="1">
        <f>_xlfn.XLOOKUP(A785,'[1]Point of Sale Analysis'!$A:$A,'[1]Point of Sale Analysis'!$B:$B,"not found",0)</f>
        <v>3</v>
      </c>
      <c r="K785" s="1">
        <f t="shared" si="108"/>
        <v>4</v>
      </c>
    </row>
    <row r="786" spans="1:11" x14ac:dyDescent="0.3">
      <c r="A786" s="1" t="s">
        <v>792</v>
      </c>
      <c r="B786" s="1">
        <v>7</v>
      </c>
      <c r="C786" s="1">
        <v>4</v>
      </c>
      <c r="D786" s="1">
        <v>4</v>
      </c>
      <c r="E786" s="1">
        <v>2</v>
      </c>
      <c r="F786" s="1">
        <v>47</v>
      </c>
      <c r="G786" s="1">
        <v>4</v>
      </c>
      <c r="H786" s="1">
        <v>0</v>
      </c>
      <c r="I786" s="1">
        <f t="shared" si="106"/>
        <v>4</v>
      </c>
      <c r="J786" s="1">
        <f>_xlfn.XLOOKUP(A786,'[1]Point of Sale Analysis'!$A:$A,'[1]Point of Sale Analysis'!$B:$B,"not found",0)</f>
        <v>1</v>
      </c>
      <c r="K786" s="1">
        <f t="shared" si="108"/>
        <v>3</v>
      </c>
    </row>
    <row r="787" spans="1:11" x14ac:dyDescent="0.3">
      <c r="A787" s="1" t="s">
        <v>793</v>
      </c>
      <c r="B787" s="1"/>
      <c r="C787" s="1"/>
      <c r="D787" s="1"/>
      <c r="E787" s="1">
        <v>4</v>
      </c>
      <c r="F787" s="1">
        <v>20</v>
      </c>
      <c r="G787" s="1">
        <v>3</v>
      </c>
      <c r="H787" s="1">
        <v>1</v>
      </c>
      <c r="I787" s="1">
        <f t="shared" si="106"/>
        <v>4</v>
      </c>
      <c r="J787" s="1">
        <f>_xlfn.XLOOKUP(A787,'[1]Point of Sale Analysis'!$A:$A,'[1]Point of Sale Analysis'!$B:$B,"not found",0)</f>
        <v>1</v>
      </c>
      <c r="K787" s="1">
        <f t="shared" si="108"/>
        <v>3</v>
      </c>
    </row>
    <row r="788" spans="1:11" x14ac:dyDescent="0.3">
      <c r="A788" s="1" t="s">
        <v>794</v>
      </c>
      <c r="B788" s="1">
        <v>10</v>
      </c>
      <c r="C788" s="1">
        <v>2</v>
      </c>
      <c r="D788" s="1">
        <v>8</v>
      </c>
      <c r="E788" s="1">
        <v>4</v>
      </c>
      <c r="F788" s="1">
        <v>27</v>
      </c>
      <c r="G788" s="1">
        <v>0</v>
      </c>
      <c r="H788" s="1">
        <v>6</v>
      </c>
      <c r="I788" s="1">
        <f t="shared" si="106"/>
        <v>6</v>
      </c>
      <c r="J788" s="1">
        <f>_xlfn.XLOOKUP(A788,'[1]Point of Sale Analysis'!$A:$A,'[1]Point of Sale Analysis'!$B:$B,"not found",0)</f>
        <v>1</v>
      </c>
      <c r="K788" s="1">
        <f t="shared" si="108"/>
        <v>5</v>
      </c>
    </row>
    <row r="789" spans="1:11" hidden="1" x14ac:dyDescent="0.3">
      <c r="A789" t="s">
        <v>795</v>
      </c>
      <c r="B789">
        <v>13</v>
      </c>
      <c r="C789">
        <v>2</v>
      </c>
      <c r="D789">
        <v>6</v>
      </c>
      <c r="F789">
        <v>27</v>
      </c>
      <c r="G789">
        <v>5</v>
      </c>
      <c r="H789">
        <v>1</v>
      </c>
      <c r="I789">
        <f t="shared" si="106"/>
        <v>6</v>
      </c>
      <c r="J789" t="str">
        <f>_xlfn.XLOOKUP(A789,'[1]Point of Sale Analysis'!$A:$A,'[1]Point of Sale Analysis'!$B:$B,"not found",0)</f>
        <v>not found</v>
      </c>
    </row>
    <row r="790" spans="1:11" x14ac:dyDescent="0.3">
      <c r="A790" s="1" t="s">
        <v>796</v>
      </c>
      <c r="B790" s="1">
        <v>9</v>
      </c>
      <c r="C790" s="1">
        <v>5</v>
      </c>
      <c r="D790" s="1">
        <v>8</v>
      </c>
      <c r="E790" s="1">
        <v>7</v>
      </c>
      <c r="F790" s="1">
        <v>20</v>
      </c>
      <c r="G790" s="1">
        <v>6</v>
      </c>
      <c r="H790" s="1">
        <v>1</v>
      </c>
      <c r="I790" s="1">
        <f t="shared" si="106"/>
        <v>7</v>
      </c>
      <c r="J790" s="1">
        <f>_xlfn.XLOOKUP(A790,'[1]Point of Sale Analysis'!$A:$A,'[1]Point of Sale Analysis'!$B:$B,"not found",0)</f>
        <v>1</v>
      </c>
      <c r="K790" s="1">
        <f t="shared" ref="K790:K801" si="109">ABS(J790-I790)</f>
        <v>6</v>
      </c>
    </row>
    <row r="791" spans="1:11" x14ac:dyDescent="0.3">
      <c r="A791" s="1" t="s">
        <v>797</v>
      </c>
      <c r="B791" s="1">
        <v>1</v>
      </c>
      <c r="C791" s="1">
        <v>3</v>
      </c>
      <c r="D791" s="1">
        <v>1</v>
      </c>
      <c r="E791" s="1"/>
      <c r="F791" s="1">
        <v>27</v>
      </c>
      <c r="G791" s="1">
        <v>2</v>
      </c>
      <c r="H791" s="1">
        <v>0</v>
      </c>
      <c r="I791" s="1">
        <f t="shared" si="106"/>
        <v>2</v>
      </c>
      <c r="J791" s="1">
        <f>_xlfn.XLOOKUP(A791,'[1]Point of Sale Analysis'!$A:$A,'[1]Point of Sale Analysis'!$B:$B,"not found",0)</f>
        <v>2</v>
      </c>
      <c r="K791" s="1">
        <f t="shared" si="109"/>
        <v>0</v>
      </c>
    </row>
    <row r="792" spans="1:11" x14ac:dyDescent="0.3">
      <c r="A792" s="1" t="s">
        <v>798</v>
      </c>
      <c r="B792" s="1">
        <v>1</v>
      </c>
      <c r="C792" s="1">
        <v>1</v>
      </c>
      <c r="D792" s="1">
        <v>1</v>
      </c>
      <c r="E792" s="1"/>
      <c r="F792" s="1">
        <v>11</v>
      </c>
      <c r="G792" s="1">
        <v>2</v>
      </c>
      <c r="H792" s="1">
        <v>0</v>
      </c>
      <c r="I792" s="1">
        <f t="shared" si="106"/>
        <v>2</v>
      </c>
      <c r="J792" s="1">
        <f>_xlfn.XLOOKUP(A792,'[1]Point of Sale Analysis'!$A:$A,'[1]Point of Sale Analysis'!$B:$B,"not found",0)</f>
        <v>2</v>
      </c>
      <c r="K792" s="1">
        <f t="shared" si="109"/>
        <v>0</v>
      </c>
    </row>
    <row r="793" spans="1:11" x14ac:dyDescent="0.3">
      <c r="A793" s="1" t="s">
        <v>799</v>
      </c>
      <c r="B793" s="1">
        <v>6</v>
      </c>
      <c r="C793" s="1">
        <v>2</v>
      </c>
      <c r="D793" s="1">
        <v>2</v>
      </c>
      <c r="E793" s="1">
        <v>11</v>
      </c>
      <c r="F793" s="1">
        <v>47</v>
      </c>
      <c r="G793" s="1">
        <v>7</v>
      </c>
      <c r="H793" s="1">
        <v>0</v>
      </c>
      <c r="I793" s="1">
        <f t="shared" si="106"/>
        <v>7</v>
      </c>
      <c r="J793" s="1">
        <f>_xlfn.XLOOKUP(A793,'[1]Point of Sale Analysis'!$A:$A,'[1]Point of Sale Analysis'!$B:$B,"not found",0)</f>
        <v>7</v>
      </c>
      <c r="K793" s="1">
        <f t="shared" si="109"/>
        <v>0</v>
      </c>
    </row>
    <row r="794" spans="1:11" x14ac:dyDescent="0.3">
      <c r="A794" s="1" t="s">
        <v>800</v>
      </c>
      <c r="B794" s="1">
        <v>11</v>
      </c>
      <c r="C794" s="1">
        <v>4</v>
      </c>
      <c r="D794" s="1">
        <v>7</v>
      </c>
      <c r="E794" s="1">
        <v>9</v>
      </c>
      <c r="F794" s="1">
        <v>48</v>
      </c>
      <c r="G794" s="1">
        <v>0</v>
      </c>
      <c r="H794" s="1">
        <v>8</v>
      </c>
      <c r="I794" s="1">
        <f t="shared" si="106"/>
        <v>8</v>
      </c>
      <c r="J794" s="1">
        <f>_xlfn.XLOOKUP(A794,'[1]Point of Sale Analysis'!$A:$A,'[1]Point of Sale Analysis'!$B:$B,"not found",0)</f>
        <v>6</v>
      </c>
      <c r="K794" s="1">
        <f t="shared" si="109"/>
        <v>2</v>
      </c>
    </row>
    <row r="795" spans="1:11" x14ac:dyDescent="0.3">
      <c r="A795" s="1" t="s">
        <v>801</v>
      </c>
      <c r="B795" s="1">
        <v>8</v>
      </c>
      <c r="C795" s="1"/>
      <c r="D795" s="1">
        <v>6</v>
      </c>
      <c r="E795" s="1">
        <v>3</v>
      </c>
      <c r="F795" s="1">
        <v>34</v>
      </c>
      <c r="G795" s="1">
        <v>5</v>
      </c>
      <c r="H795" s="1">
        <v>1</v>
      </c>
      <c r="I795" s="1">
        <f t="shared" si="106"/>
        <v>6</v>
      </c>
      <c r="J795" s="1">
        <f>_xlfn.XLOOKUP(A795,'[1]Point of Sale Analysis'!$A:$A,'[1]Point of Sale Analysis'!$B:$B,"not found",0)</f>
        <v>4</v>
      </c>
      <c r="K795" s="1">
        <f t="shared" si="109"/>
        <v>2</v>
      </c>
    </row>
    <row r="796" spans="1:11" x14ac:dyDescent="0.3">
      <c r="A796" s="1" t="s">
        <v>802</v>
      </c>
      <c r="B796" s="1"/>
      <c r="C796" s="1"/>
      <c r="D796" s="1"/>
      <c r="E796" s="1">
        <v>4</v>
      </c>
      <c r="F796" s="1">
        <v>13</v>
      </c>
      <c r="G796" s="1">
        <v>6</v>
      </c>
      <c r="H796" s="1">
        <v>0</v>
      </c>
      <c r="I796" s="1">
        <f t="shared" si="106"/>
        <v>6</v>
      </c>
      <c r="J796" s="1">
        <f>_xlfn.XLOOKUP(A796,'[1]Point of Sale Analysis'!$A:$A,'[1]Point of Sale Analysis'!$B:$B,"not found",0)</f>
        <v>4</v>
      </c>
      <c r="K796" s="1">
        <f t="shared" si="109"/>
        <v>2</v>
      </c>
    </row>
    <row r="797" spans="1:11" x14ac:dyDescent="0.3">
      <c r="A797" s="1" t="s">
        <v>803</v>
      </c>
      <c r="B797" s="1">
        <v>14</v>
      </c>
      <c r="C797" s="1">
        <v>6</v>
      </c>
      <c r="D797" s="1">
        <v>10</v>
      </c>
      <c r="E797" s="1">
        <v>15</v>
      </c>
      <c r="F797" s="1">
        <v>44</v>
      </c>
      <c r="G797" s="1">
        <v>1</v>
      </c>
      <c r="H797" s="1">
        <v>11</v>
      </c>
      <c r="I797" s="1">
        <f t="shared" si="106"/>
        <v>12</v>
      </c>
      <c r="J797" s="1">
        <f>_xlfn.XLOOKUP(A797,'[1]Point of Sale Analysis'!$A:$A,'[1]Point of Sale Analysis'!$B:$B,"not found",0)</f>
        <v>3</v>
      </c>
      <c r="K797" s="1">
        <f t="shared" si="109"/>
        <v>9</v>
      </c>
    </row>
    <row r="798" spans="1:11" x14ac:dyDescent="0.3">
      <c r="A798" s="1" t="s">
        <v>804</v>
      </c>
      <c r="B798" s="1">
        <v>4</v>
      </c>
      <c r="C798" s="1">
        <v>2</v>
      </c>
      <c r="D798" s="1">
        <v>3</v>
      </c>
      <c r="E798" s="1">
        <v>2</v>
      </c>
      <c r="F798" s="1">
        <v>23</v>
      </c>
      <c r="G798" s="1">
        <v>1</v>
      </c>
      <c r="H798" s="1">
        <v>1</v>
      </c>
      <c r="I798" s="1">
        <f t="shared" si="106"/>
        <v>2</v>
      </c>
      <c r="J798" s="1">
        <f>_xlfn.XLOOKUP(A798,'[1]Point of Sale Analysis'!$A:$A,'[1]Point of Sale Analysis'!$B:$B,"not found",0)</f>
        <v>5</v>
      </c>
      <c r="K798" s="1">
        <f t="shared" si="109"/>
        <v>3</v>
      </c>
    </row>
    <row r="799" spans="1:11" x14ac:dyDescent="0.3">
      <c r="A799" s="1" t="s">
        <v>805</v>
      </c>
      <c r="B799" s="1">
        <v>5</v>
      </c>
      <c r="C799" s="1">
        <v>20</v>
      </c>
      <c r="D799" s="1">
        <v>12</v>
      </c>
      <c r="E799" s="1">
        <v>7</v>
      </c>
      <c r="F799" s="1">
        <v>73</v>
      </c>
      <c r="G799" s="1">
        <v>10</v>
      </c>
      <c r="H799" s="1">
        <v>0</v>
      </c>
      <c r="I799" s="1">
        <f t="shared" si="106"/>
        <v>10</v>
      </c>
      <c r="J799" s="1">
        <f>_xlfn.XLOOKUP(A799,'[1]Point of Sale Analysis'!$A:$A,'[1]Point of Sale Analysis'!$B:$B,"not found",0)</f>
        <v>5</v>
      </c>
      <c r="K799" s="1">
        <f t="shared" si="109"/>
        <v>5</v>
      </c>
    </row>
    <row r="800" spans="1:11" x14ac:dyDescent="0.3">
      <c r="A800" s="1" t="s">
        <v>806</v>
      </c>
      <c r="B800" s="1"/>
      <c r="C800" s="1">
        <v>1</v>
      </c>
      <c r="D800" s="1">
        <v>5</v>
      </c>
      <c r="E800" s="1">
        <v>1</v>
      </c>
      <c r="F800" s="1">
        <v>0</v>
      </c>
      <c r="G800" s="1">
        <v>0</v>
      </c>
      <c r="H800" s="1">
        <v>1</v>
      </c>
      <c r="I800" s="1">
        <f t="shared" si="106"/>
        <v>1</v>
      </c>
      <c r="J800" s="1">
        <f>_xlfn.XLOOKUP(A800,'[1]Point of Sale Analysis'!$A:$A,'[1]Point of Sale Analysis'!$B:$B,"not found",0)</f>
        <v>1</v>
      </c>
      <c r="K800" s="1">
        <f t="shared" si="109"/>
        <v>0</v>
      </c>
    </row>
    <row r="801" spans="1:11" x14ac:dyDescent="0.3">
      <c r="A801" s="1" t="s">
        <v>807</v>
      </c>
      <c r="B801" s="1">
        <v>2</v>
      </c>
      <c r="C801" s="1">
        <v>1</v>
      </c>
      <c r="D801" s="1">
        <v>1</v>
      </c>
      <c r="E801" s="1">
        <v>1</v>
      </c>
      <c r="F801" s="1">
        <v>0</v>
      </c>
      <c r="G801" s="1">
        <v>1</v>
      </c>
      <c r="H801" s="1">
        <v>0</v>
      </c>
      <c r="I801" s="1">
        <f t="shared" si="106"/>
        <v>1</v>
      </c>
      <c r="J801" s="1">
        <f>_xlfn.XLOOKUP(A801,'[1]Point of Sale Analysis'!$A:$A,'[1]Point of Sale Analysis'!$B:$B,"not found",0)</f>
        <v>2</v>
      </c>
      <c r="K801" s="1">
        <f t="shared" si="109"/>
        <v>1</v>
      </c>
    </row>
    <row r="802" spans="1:11" hidden="1" x14ac:dyDescent="0.3">
      <c r="A802" t="s">
        <v>808</v>
      </c>
      <c r="B802">
        <v>1</v>
      </c>
      <c r="F802">
        <v>2</v>
      </c>
      <c r="G802">
        <v>0</v>
      </c>
      <c r="H802">
        <v>1</v>
      </c>
      <c r="I802">
        <f t="shared" si="106"/>
        <v>1</v>
      </c>
      <c r="J802" t="str">
        <f>_xlfn.XLOOKUP(A802,'[1]Point of Sale Analysis'!$A:$A,'[1]Point of Sale Analysis'!$B:$B,"not found",0)</f>
        <v>not found</v>
      </c>
    </row>
    <row r="803" spans="1:11" hidden="1" x14ac:dyDescent="0.3">
      <c r="A803" t="s">
        <v>809</v>
      </c>
      <c r="B803">
        <v>4</v>
      </c>
      <c r="C803">
        <v>5</v>
      </c>
      <c r="F803">
        <v>0</v>
      </c>
      <c r="G803">
        <v>1</v>
      </c>
      <c r="H803">
        <v>3</v>
      </c>
      <c r="I803">
        <f t="shared" si="106"/>
        <v>4</v>
      </c>
      <c r="J803" t="str">
        <f>_xlfn.XLOOKUP(A803,'[1]Point of Sale Analysis'!$A:$A,'[1]Point of Sale Analysis'!$B:$B,"not found",0)</f>
        <v>not found</v>
      </c>
    </row>
    <row r="804" spans="1:11" x14ac:dyDescent="0.3">
      <c r="A804" s="1" t="s">
        <v>810</v>
      </c>
      <c r="B804" s="1">
        <v>7</v>
      </c>
      <c r="C804" s="1">
        <v>6</v>
      </c>
      <c r="D804" s="1">
        <v>5</v>
      </c>
      <c r="E804" s="1">
        <v>2</v>
      </c>
      <c r="F804" s="1">
        <v>12</v>
      </c>
      <c r="G804" s="1">
        <v>-2</v>
      </c>
      <c r="H804" s="1">
        <v>7</v>
      </c>
      <c r="I804" s="1">
        <f t="shared" si="106"/>
        <v>5</v>
      </c>
      <c r="J804" s="1">
        <f>_xlfn.XLOOKUP(A804,'[1]Point of Sale Analysis'!$A:$A,'[1]Point of Sale Analysis'!$B:$B,"not found",0)</f>
        <v>3</v>
      </c>
      <c r="K804" s="1">
        <f t="shared" ref="K804:K805" si="110">ABS(J804-I804)</f>
        <v>2</v>
      </c>
    </row>
    <row r="805" spans="1:11" x14ac:dyDescent="0.3">
      <c r="A805" s="1" t="s">
        <v>811</v>
      </c>
      <c r="B805" s="1">
        <v>7</v>
      </c>
      <c r="C805" s="1">
        <v>5</v>
      </c>
      <c r="D805" s="1">
        <v>4</v>
      </c>
      <c r="E805" s="1">
        <v>1</v>
      </c>
      <c r="F805" s="1">
        <v>1</v>
      </c>
      <c r="G805" s="1">
        <v>1</v>
      </c>
      <c r="H805" s="1">
        <v>3</v>
      </c>
      <c r="I805" s="1">
        <f t="shared" si="106"/>
        <v>4</v>
      </c>
      <c r="J805" s="1">
        <f>_xlfn.XLOOKUP(A805,'[1]Point of Sale Analysis'!$A:$A,'[1]Point of Sale Analysis'!$B:$B,"not found",0)</f>
        <v>2</v>
      </c>
      <c r="K805" s="1">
        <f t="shared" si="110"/>
        <v>2</v>
      </c>
    </row>
    <row r="806" spans="1:11" hidden="1" x14ac:dyDescent="0.3">
      <c r="A806" t="s">
        <v>812</v>
      </c>
      <c r="C806">
        <v>3</v>
      </c>
      <c r="D806">
        <v>3</v>
      </c>
      <c r="F806">
        <v>0</v>
      </c>
      <c r="G806">
        <v>1</v>
      </c>
      <c r="H806">
        <v>2</v>
      </c>
      <c r="I806">
        <f t="shared" si="106"/>
        <v>3</v>
      </c>
      <c r="J806" t="str">
        <f>_xlfn.XLOOKUP(A806,'[1]Point of Sale Analysis'!$A:$A,'[1]Point of Sale Analysis'!$B:$B,"not found",0)</f>
        <v>not found</v>
      </c>
    </row>
    <row r="807" spans="1:11" x14ac:dyDescent="0.3">
      <c r="A807" s="1" t="s">
        <v>813</v>
      </c>
      <c r="B807" s="1">
        <v>1</v>
      </c>
      <c r="C807" s="1">
        <v>3</v>
      </c>
      <c r="D807" s="1">
        <v>4</v>
      </c>
      <c r="E807" s="1"/>
      <c r="F807" s="1">
        <v>0</v>
      </c>
      <c r="G807" s="1">
        <v>0</v>
      </c>
      <c r="H807" s="1">
        <v>3</v>
      </c>
      <c r="I807" s="1">
        <f t="shared" si="106"/>
        <v>3</v>
      </c>
      <c r="J807" s="1">
        <f>_xlfn.XLOOKUP(A807,'[1]Point of Sale Analysis'!$A:$A,'[1]Point of Sale Analysis'!$B:$B,"not found",0)</f>
        <v>3</v>
      </c>
      <c r="K807" s="1">
        <f>ABS(J807-I807)</f>
        <v>0</v>
      </c>
    </row>
    <row r="808" spans="1:11" hidden="1" x14ac:dyDescent="0.3">
      <c r="A808" t="s">
        <v>814</v>
      </c>
      <c r="B808">
        <v>1</v>
      </c>
      <c r="F808">
        <v>5</v>
      </c>
      <c r="G808">
        <v>0</v>
      </c>
      <c r="H808">
        <v>1</v>
      </c>
      <c r="I808">
        <f t="shared" si="106"/>
        <v>1</v>
      </c>
      <c r="J808" t="str">
        <f>_xlfn.XLOOKUP(A808,'[1]Point of Sale Analysis'!$A:$A,'[1]Point of Sale Analysis'!$B:$B,"not found",0)</f>
        <v>not found</v>
      </c>
    </row>
    <row r="809" spans="1:11" x14ac:dyDescent="0.3">
      <c r="A809" s="1" t="s">
        <v>815</v>
      </c>
      <c r="B809" s="1">
        <v>1</v>
      </c>
      <c r="C809" s="1"/>
      <c r="D809" s="1">
        <v>1</v>
      </c>
      <c r="E809" s="1"/>
      <c r="F809" s="1">
        <v>3</v>
      </c>
      <c r="G809" s="1">
        <v>1</v>
      </c>
      <c r="H809" s="1">
        <v>0</v>
      </c>
      <c r="I809" s="1">
        <f t="shared" si="106"/>
        <v>1</v>
      </c>
      <c r="J809" s="1">
        <f>_xlfn.XLOOKUP(A809,'[1]Point of Sale Analysis'!$A:$A,'[1]Point of Sale Analysis'!$B:$B,"not found",0)</f>
        <v>2</v>
      </c>
      <c r="K809" s="1">
        <f>ABS(J809-I809)</f>
        <v>1</v>
      </c>
    </row>
    <row r="810" spans="1:11" hidden="1" x14ac:dyDescent="0.3">
      <c r="A810" t="s">
        <v>816</v>
      </c>
      <c r="B810">
        <v>1</v>
      </c>
      <c r="C810">
        <v>2</v>
      </c>
      <c r="F810">
        <v>3</v>
      </c>
      <c r="G810">
        <v>0</v>
      </c>
      <c r="H810">
        <v>1</v>
      </c>
      <c r="I810">
        <f t="shared" si="106"/>
        <v>1</v>
      </c>
      <c r="J810" t="str">
        <f>_xlfn.XLOOKUP(A810,'[1]Point of Sale Analysis'!$A:$A,'[1]Point of Sale Analysis'!$B:$B,"not found",0)</f>
        <v>not found</v>
      </c>
    </row>
    <row r="811" spans="1:11" x14ac:dyDescent="0.3">
      <c r="A811" s="1" t="s">
        <v>817</v>
      </c>
      <c r="B811" s="1">
        <v>2</v>
      </c>
      <c r="C811" s="1"/>
      <c r="D811" s="1"/>
      <c r="E811" s="1">
        <v>1</v>
      </c>
      <c r="F811" s="1">
        <v>3</v>
      </c>
      <c r="G811" s="1">
        <v>0</v>
      </c>
      <c r="H811" s="1">
        <v>1</v>
      </c>
      <c r="I811" s="1">
        <f t="shared" si="106"/>
        <v>1</v>
      </c>
      <c r="J811" s="1">
        <f>_xlfn.XLOOKUP(A811,'[1]Point of Sale Analysis'!$A:$A,'[1]Point of Sale Analysis'!$B:$B,"not found",0)</f>
        <v>1</v>
      </c>
      <c r="K811" s="1">
        <f t="shared" ref="K811:K812" si="111">ABS(J811-I811)</f>
        <v>0</v>
      </c>
    </row>
    <row r="812" spans="1:11" x14ac:dyDescent="0.3">
      <c r="A812" s="1" t="s">
        <v>818</v>
      </c>
      <c r="B812" s="1"/>
      <c r="C812" s="1">
        <v>1</v>
      </c>
      <c r="D812" s="1"/>
      <c r="E812" s="1">
        <v>1</v>
      </c>
      <c r="F812" s="1">
        <v>0</v>
      </c>
      <c r="G812" s="1">
        <v>0</v>
      </c>
      <c r="H812" s="1">
        <v>1</v>
      </c>
      <c r="I812" s="1">
        <f t="shared" si="106"/>
        <v>1</v>
      </c>
      <c r="J812" s="1">
        <f>_xlfn.XLOOKUP(A812,'[1]Point of Sale Analysis'!$A:$A,'[1]Point of Sale Analysis'!$B:$B,"not found",0)</f>
        <v>1</v>
      </c>
      <c r="K812" s="1">
        <f t="shared" si="111"/>
        <v>0</v>
      </c>
    </row>
    <row r="813" spans="1:11" hidden="1" x14ac:dyDescent="0.3">
      <c r="A813" t="s">
        <v>819</v>
      </c>
      <c r="B813">
        <v>1</v>
      </c>
      <c r="F813">
        <v>2</v>
      </c>
      <c r="G813">
        <v>0</v>
      </c>
      <c r="H813">
        <v>1</v>
      </c>
      <c r="I813">
        <f t="shared" si="106"/>
        <v>1</v>
      </c>
      <c r="J813" t="str">
        <f>_xlfn.XLOOKUP(A813,'[1]Point of Sale Analysis'!$A:$A,'[1]Point of Sale Analysis'!$B:$B,"not found",0)</f>
        <v>not found</v>
      </c>
    </row>
    <row r="814" spans="1:11" x14ac:dyDescent="0.3">
      <c r="A814" s="1" t="s">
        <v>820</v>
      </c>
      <c r="B814" s="1">
        <v>1</v>
      </c>
      <c r="C814" s="1"/>
      <c r="D814" s="1"/>
      <c r="E814" s="1"/>
      <c r="F814" s="1">
        <v>2</v>
      </c>
      <c r="G814" s="1">
        <v>0</v>
      </c>
      <c r="H814" s="1">
        <v>1</v>
      </c>
      <c r="I814" s="1">
        <f t="shared" si="106"/>
        <v>1</v>
      </c>
      <c r="J814" s="1">
        <f>_xlfn.XLOOKUP(A814,'[1]Point of Sale Analysis'!$A:$A,'[1]Point of Sale Analysis'!$B:$B,"not found",0)</f>
        <v>1</v>
      </c>
      <c r="K814" s="1">
        <f t="shared" ref="K814:K815" si="112">ABS(J814-I814)</f>
        <v>0</v>
      </c>
    </row>
    <row r="815" spans="1:11" x14ac:dyDescent="0.3">
      <c r="A815" s="1" t="s">
        <v>821</v>
      </c>
      <c r="B815" s="1">
        <v>2</v>
      </c>
      <c r="C815" s="1">
        <v>1</v>
      </c>
      <c r="D815" s="1"/>
      <c r="E815" s="1"/>
      <c r="F815" s="1">
        <v>3</v>
      </c>
      <c r="G815" s="1">
        <v>1</v>
      </c>
      <c r="H815" s="1">
        <v>0</v>
      </c>
      <c r="I815" s="1">
        <f t="shared" si="106"/>
        <v>1</v>
      </c>
      <c r="J815" s="1">
        <f>_xlfn.XLOOKUP(A815,'[1]Point of Sale Analysis'!$A:$A,'[1]Point of Sale Analysis'!$B:$B,"not found",0)</f>
        <v>1</v>
      </c>
      <c r="K815" s="1">
        <f t="shared" si="112"/>
        <v>0</v>
      </c>
    </row>
    <row r="816" spans="1:11" hidden="1" x14ac:dyDescent="0.3">
      <c r="A816" t="s">
        <v>822</v>
      </c>
      <c r="B816">
        <v>1</v>
      </c>
      <c r="D816">
        <v>1</v>
      </c>
      <c r="F816">
        <v>3</v>
      </c>
      <c r="G816">
        <v>1</v>
      </c>
      <c r="H816">
        <v>0</v>
      </c>
      <c r="I816">
        <f t="shared" si="106"/>
        <v>1</v>
      </c>
      <c r="J816" t="str">
        <f>_xlfn.XLOOKUP(A816,'[1]Point of Sale Analysis'!$A:$A,'[1]Point of Sale Analysis'!$B:$B,"not found",0)</f>
        <v>not found</v>
      </c>
    </row>
    <row r="817" spans="1:11" x14ac:dyDescent="0.3">
      <c r="A817" s="1" t="s">
        <v>823</v>
      </c>
      <c r="B817" s="1">
        <v>1</v>
      </c>
      <c r="C817" s="1">
        <v>2</v>
      </c>
      <c r="D817" s="1">
        <v>1</v>
      </c>
      <c r="E817" s="1">
        <v>2</v>
      </c>
      <c r="F817" s="1">
        <v>8</v>
      </c>
      <c r="G817" s="1">
        <v>4</v>
      </c>
      <c r="H817" s="1">
        <v>0</v>
      </c>
      <c r="I817" s="1">
        <f t="shared" si="106"/>
        <v>4</v>
      </c>
      <c r="J817" s="1">
        <f>_xlfn.XLOOKUP(A817,'[1]Point of Sale Analysis'!$A:$A,'[1]Point of Sale Analysis'!$B:$B,"not found",0)</f>
        <v>1</v>
      </c>
      <c r="K817" s="1">
        <f t="shared" ref="K817:K820" si="113">ABS(J817-I817)</f>
        <v>3</v>
      </c>
    </row>
    <row r="818" spans="1:11" x14ac:dyDescent="0.3">
      <c r="A818" s="1" t="s">
        <v>824</v>
      </c>
      <c r="B818" s="1">
        <v>8</v>
      </c>
      <c r="C818" s="1">
        <v>4</v>
      </c>
      <c r="D818" s="1">
        <v>5</v>
      </c>
      <c r="E818" s="1">
        <v>5</v>
      </c>
      <c r="F818" s="1">
        <v>1</v>
      </c>
      <c r="G818" s="1">
        <v>7</v>
      </c>
      <c r="H818" s="1">
        <v>0</v>
      </c>
      <c r="I818" s="1">
        <f t="shared" si="106"/>
        <v>7</v>
      </c>
      <c r="J818" s="1">
        <f>_xlfn.XLOOKUP(A818,'[1]Point of Sale Analysis'!$A:$A,'[1]Point of Sale Analysis'!$B:$B,"not found",0)</f>
        <v>1</v>
      </c>
      <c r="K818" s="1">
        <f t="shared" si="113"/>
        <v>6</v>
      </c>
    </row>
    <row r="819" spans="1:11" x14ac:dyDescent="0.3">
      <c r="A819" s="1" t="s">
        <v>825</v>
      </c>
      <c r="B819" s="1">
        <v>4</v>
      </c>
      <c r="C819" s="1"/>
      <c r="D819" s="1">
        <v>6</v>
      </c>
      <c r="E819" s="1"/>
      <c r="F819" s="1">
        <v>12</v>
      </c>
      <c r="G819" s="1">
        <v>5</v>
      </c>
      <c r="H819" s="1">
        <v>0</v>
      </c>
      <c r="I819" s="1">
        <f t="shared" si="106"/>
        <v>5</v>
      </c>
      <c r="J819" s="1">
        <f>_xlfn.XLOOKUP(A819,'[1]Point of Sale Analysis'!$A:$A,'[1]Point of Sale Analysis'!$B:$B,"not found",0)</f>
        <v>2</v>
      </c>
      <c r="K819" s="1">
        <f t="shared" si="113"/>
        <v>3</v>
      </c>
    </row>
    <row r="820" spans="1:11" x14ac:dyDescent="0.3">
      <c r="A820" s="1" t="s">
        <v>826</v>
      </c>
      <c r="B820" s="1">
        <v>6</v>
      </c>
      <c r="C820" s="1">
        <v>3</v>
      </c>
      <c r="D820" s="1">
        <v>4</v>
      </c>
      <c r="E820" s="1">
        <v>5</v>
      </c>
      <c r="F820" s="1">
        <v>7</v>
      </c>
      <c r="G820" s="1">
        <v>7</v>
      </c>
      <c r="H820" s="1">
        <v>0</v>
      </c>
      <c r="I820" s="1">
        <f t="shared" si="106"/>
        <v>7</v>
      </c>
      <c r="J820" s="1">
        <f>_xlfn.XLOOKUP(A820,'[1]Point of Sale Analysis'!$A:$A,'[1]Point of Sale Analysis'!$B:$B,"not found",0)</f>
        <v>5</v>
      </c>
      <c r="K820" s="1">
        <f t="shared" si="113"/>
        <v>2</v>
      </c>
    </row>
    <row r="821" spans="1:11" hidden="1" x14ac:dyDescent="0.3">
      <c r="A821" t="s">
        <v>827</v>
      </c>
      <c r="B821">
        <v>1</v>
      </c>
      <c r="C821">
        <v>1</v>
      </c>
      <c r="D821">
        <v>3</v>
      </c>
      <c r="F821">
        <v>0</v>
      </c>
      <c r="G821">
        <v>0</v>
      </c>
      <c r="H821">
        <v>1</v>
      </c>
      <c r="I821">
        <f t="shared" si="106"/>
        <v>1</v>
      </c>
      <c r="J821" t="str">
        <f>_xlfn.XLOOKUP(A821,'[1]Point of Sale Analysis'!$A:$A,'[1]Point of Sale Analysis'!$B:$B,"not found",0)</f>
        <v>not found</v>
      </c>
    </row>
    <row r="822" spans="1:11" hidden="1" x14ac:dyDescent="0.3">
      <c r="A822" t="s">
        <v>828</v>
      </c>
      <c r="B822">
        <v>7</v>
      </c>
      <c r="C822">
        <v>11</v>
      </c>
      <c r="D822">
        <v>9</v>
      </c>
      <c r="E822">
        <v>8</v>
      </c>
      <c r="F822">
        <v>0</v>
      </c>
      <c r="G822">
        <v>1</v>
      </c>
      <c r="H822">
        <v>7</v>
      </c>
      <c r="I822">
        <f t="shared" si="106"/>
        <v>8</v>
      </c>
      <c r="J822" t="str">
        <f>_xlfn.XLOOKUP(A822,'[1]Point of Sale Analysis'!$A:$A,'[1]Point of Sale Analysis'!$B:$B,"not found",0)</f>
        <v>not found</v>
      </c>
    </row>
    <row r="823" spans="1:11" x14ac:dyDescent="0.3">
      <c r="A823" s="1" t="s">
        <v>829</v>
      </c>
      <c r="B823" s="1"/>
      <c r="C823" s="1">
        <v>1</v>
      </c>
      <c r="D823" s="1">
        <v>4</v>
      </c>
      <c r="E823" s="1"/>
      <c r="F823" s="1">
        <v>3</v>
      </c>
      <c r="G823" s="1">
        <v>3</v>
      </c>
      <c r="H823" s="1">
        <v>0</v>
      </c>
      <c r="I823" s="1">
        <f t="shared" si="106"/>
        <v>3</v>
      </c>
      <c r="J823" s="1">
        <f>_xlfn.XLOOKUP(A823,'[1]Point of Sale Analysis'!$A:$A,'[1]Point of Sale Analysis'!$B:$B,"not found",0)</f>
        <v>1</v>
      </c>
      <c r="K823" s="1">
        <f>ABS(J823-I823)</f>
        <v>2</v>
      </c>
    </row>
    <row r="824" spans="1:11" hidden="1" x14ac:dyDescent="0.3">
      <c r="A824" t="s">
        <v>830</v>
      </c>
      <c r="B824">
        <v>4</v>
      </c>
      <c r="C824">
        <v>3</v>
      </c>
      <c r="D824">
        <v>1</v>
      </c>
      <c r="F824">
        <v>0</v>
      </c>
      <c r="G824">
        <v>0</v>
      </c>
      <c r="H824">
        <v>3</v>
      </c>
      <c r="I824">
        <f t="shared" si="106"/>
        <v>3</v>
      </c>
      <c r="J824" t="str">
        <f>_xlfn.XLOOKUP(A824,'[1]Point of Sale Analysis'!$A:$A,'[1]Point of Sale Analysis'!$B:$B,"not found",0)</f>
        <v>not found</v>
      </c>
    </row>
    <row r="825" spans="1:11" hidden="1" x14ac:dyDescent="0.3">
      <c r="A825" t="s">
        <v>831</v>
      </c>
      <c r="B825">
        <v>5</v>
      </c>
      <c r="C825">
        <v>4</v>
      </c>
      <c r="D825">
        <v>1</v>
      </c>
      <c r="E825">
        <v>2</v>
      </c>
      <c r="F825">
        <v>0</v>
      </c>
      <c r="G825">
        <v>0</v>
      </c>
      <c r="H825">
        <v>3</v>
      </c>
      <c r="I825">
        <f t="shared" si="106"/>
        <v>3</v>
      </c>
      <c r="J825" t="str">
        <f>_xlfn.XLOOKUP(A825,'[1]Point of Sale Analysis'!$A:$A,'[1]Point of Sale Analysis'!$B:$B,"not found",0)</f>
        <v>not found</v>
      </c>
    </row>
    <row r="826" spans="1:11" hidden="1" x14ac:dyDescent="0.3">
      <c r="A826" t="s">
        <v>832</v>
      </c>
      <c r="B826">
        <v>3</v>
      </c>
      <c r="C826">
        <v>1</v>
      </c>
      <c r="F826">
        <v>5</v>
      </c>
      <c r="G826">
        <v>2</v>
      </c>
      <c r="H826">
        <v>0</v>
      </c>
      <c r="I826">
        <f t="shared" si="106"/>
        <v>2</v>
      </c>
      <c r="J826" t="str">
        <f>_xlfn.XLOOKUP(A826,'[1]Point of Sale Analysis'!$A:$A,'[1]Point of Sale Analysis'!$B:$B,"not found",0)</f>
        <v>not found</v>
      </c>
    </row>
    <row r="827" spans="1:11" hidden="1" x14ac:dyDescent="0.3">
      <c r="A827" t="s">
        <v>833</v>
      </c>
      <c r="B827">
        <v>1</v>
      </c>
      <c r="F827">
        <v>1</v>
      </c>
      <c r="G827">
        <v>0</v>
      </c>
      <c r="H827">
        <v>1</v>
      </c>
      <c r="I827">
        <f t="shared" si="106"/>
        <v>1</v>
      </c>
      <c r="J827" t="str">
        <f>_xlfn.XLOOKUP(A827,'[1]Point of Sale Analysis'!$A:$A,'[1]Point of Sale Analysis'!$B:$B,"not found",0)</f>
        <v>not found</v>
      </c>
    </row>
    <row r="828" spans="1:11" hidden="1" x14ac:dyDescent="0.3">
      <c r="A828" t="s">
        <v>834</v>
      </c>
      <c r="B828">
        <v>2</v>
      </c>
      <c r="C828">
        <v>1</v>
      </c>
      <c r="F828">
        <v>0</v>
      </c>
      <c r="G828">
        <v>2</v>
      </c>
      <c r="H828">
        <v>0</v>
      </c>
      <c r="I828">
        <f t="shared" si="106"/>
        <v>2</v>
      </c>
      <c r="J828" t="str">
        <f>_xlfn.XLOOKUP(A828,'[1]Point of Sale Analysis'!$A:$A,'[1]Point of Sale Analysis'!$B:$B,"not found",0)</f>
        <v>not found</v>
      </c>
    </row>
    <row r="829" spans="1:11" hidden="1" x14ac:dyDescent="0.3">
      <c r="A829" t="s">
        <v>835</v>
      </c>
      <c r="B829">
        <v>1</v>
      </c>
      <c r="F829">
        <v>6</v>
      </c>
      <c r="G829">
        <v>1</v>
      </c>
      <c r="H829">
        <v>0</v>
      </c>
      <c r="I829">
        <f t="shared" si="106"/>
        <v>1</v>
      </c>
      <c r="J829" t="str">
        <f>_xlfn.XLOOKUP(A829,'[1]Point of Sale Analysis'!$A:$A,'[1]Point of Sale Analysis'!$B:$B,"not found",0)</f>
        <v>not found</v>
      </c>
    </row>
    <row r="830" spans="1:11" x14ac:dyDescent="0.3">
      <c r="A830" s="1" t="s">
        <v>836</v>
      </c>
      <c r="B830" s="1">
        <v>1</v>
      </c>
      <c r="C830" s="1">
        <v>1</v>
      </c>
      <c r="D830" s="1">
        <v>1</v>
      </c>
      <c r="E830" s="1">
        <v>1</v>
      </c>
      <c r="F830" s="1">
        <v>0</v>
      </c>
      <c r="G830" s="1">
        <v>0</v>
      </c>
      <c r="H830" s="1">
        <v>1</v>
      </c>
      <c r="I830" s="1">
        <f t="shared" si="106"/>
        <v>1</v>
      </c>
      <c r="J830" s="1">
        <f>_xlfn.XLOOKUP(A830,'[1]Point of Sale Analysis'!$A:$A,'[1]Point of Sale Analysis'!$B:$B,"not found",0)</f>
        <v>2</v>
      </c>
      <c r="K830" s="1">
        <f t="shared" ref="K830:K832" si="114">ABS(J830-I830)</f>
        <v>1</v>
      </c>
    </row>
    <row r="831" spans="1:11" x14ac:dyDescent="0.3">
      <c r="A831" s="1" t="s">
        <v>837</v>
      </c>
      <c r="B831" s="1">
        <v>2</v>
      </c>
      <c r="C831" s="1"/>
      <c r="D831" s="1">
        <v>4</v>
      </c>
      <c r="E831" s="1">
        <v>1</v>
      </c>
      <c r="F831" s="1">
        <v>22</v>
      </c>
      <c r="G831" s="1">
        <v>4</v>
      </c>
      <c r="H831" s="1">
        <v>0</v>
      </c>
      <c r="I831" s="1">
        <f t="shared" si="106"/>
        <v>4</v>
      </c>
      <c r="J831" s="1">
        <f>_xlfn.XLOOKUP(A831,'[1]Point of Sale Analysis'!$A:$A,'[1]Point of Sale Analysis'!$B:$B,"not found",0)</f>
        <v>1</v>
      </c>
      <c r="K831" s="1">
        <f t="shared" si="114"/>
        <v>3</v>
      </c>
    </row>
    <row r="832" spans="1:11" x14ac:dyDescent="0.3">
      <c r="A832" s="1" t="s">
        <v>838</v>
      </c>
      <c r="B832" s="1"/>
      <c r="C832" s="1"/>
      <c r="D832" s="1"/>
      <c r="E832" s="1">
        <v>3</v>
      </c>
      <c r="F832" s="1">
        <v>17</v>
      </c>
      <c r="G832" s="1">
        <v>2</v>
      </c>
      <c r="H832" s="1">
        <v>1</v>
      </c>
      <c r="I832" s="1">
        <f t="shared" si="106"/>
        <v>3</v>
      </c>
      <c r="J832" s="1">
        <f>_xlfn.XLOOKUP(A832,'[1]Point of Sale Analysis'!$A:$A,'[1]Point of Sale Analysis'!$B:$B,"not found",0)</f>
        <v>1</v>
      </c>
      <c r="K832" s="1">
        <f t="shared" si="114"/>
        <v>2</v>
      </c>
    </row>
    <row r="833" spans="1:11" hidden="1" x14ac:dyDescent="0.3">
      <c r="A833" t="s">
        <v>839</v>
      </c>
      <c r="C833">
        <v>2</v>
      </c>
      <c r="F833">
        <v>15</v>
      </c>
      <c r="G833">
        <v>8</v>
      </c>
      <c r="H833">
        <v>0</v>
      </c>
      <c r="I833">
        <f t="shared" si="106"/>
        <v>8</v>
      </c>
      <c r="J833" t="str">
        <f>_xlfn.XLOOKUP(A833,'[1]Point of Sale Analysis'!$A:$A,'[1]Point of Sale Analysis'!$B:$B,"not found",0)</f>
        <v>not found</v>
      </c>
    </row>
    <row r="834" spans="1:11" hidden="1" x14ac:dyDescent="0.3">
      <c r="A834" t="s">
        <v>840</v>
      </c>
      <c r="B834">
        <v>4</v>
      </c>
      <c r="D834">
        <v>2</v>
      </c>
      <c r="E834">
        <v>3</v>
      </c>
      <c r="F834">
        <v>9</v>
      </c>
      <c r="G834">
        <v>0</v>
      </c>
      <c r="H834">
        <v>3</v>
      </c>
      <c r="I834">
        <f t="shared" si="106"/>
        <v>3</v>
      </c>
      <c r="J834" t="str">
        <f>_xlfn.XLOOKUP(A834,'[1]Point of Sale Analysis'!$A:$A,'[1]Point of Sale Analysis'!$B:$B,"not found",0)</f>
        <v>not found</v>
      </c>
    </row>
    <row r="835" spans="1:11" x14ac:dyDescent="0.3">
      <c r="A835" s="1" t="s">
        <v>841</v>
      </c>
      <c r="B835" s="1">
        <v>2</v>
      </c>
      <c r="C835" s="1"/>
      <c r="D835" s="1">
        <v>1</v>
      </c>
      <c r="E835" s="1">
        <v>2</v>
      </c>
      <c r="F835" s="1">
        <v>0</v>
      </c>
      <c r="G835" s="1">
        <v>2</v>
      </c>
      <c r="H835" s="1">
        <v>0</v>
      </c>
      <c r="I835" s="1">
        <f t="shared" ref="I835:I898" si="115">G835+H835</f>
        <v>2</v>
      </c>
      <c r="J835" s="1">
        <f>_xlfn.XLOOKUP(A835,'[1]Point of Sale Analysis'!$A:$A,'[1]Point of Sale Analysis'!$B:$B,"not found",0)</f>
        <v>1</v>
      </c>
      <c r="K835" s="1">
        <f t="shared" ref="K835:K836" si="116">ABS(J835-I835)</f>
        <v>1</v>
      </c>
    </row>
    <row r="836" spans="1:11" x14ac:dyDescent="0.3">
      <c r="A836" s="1" t="s">
        <v>842</v>
      </c>
      <c r="B836" s="1">
        <v>1</v>
      </c>
      <c r="C836" s="1">
        <v>1</v>
      </c>
      <c r="D836" s="1"/>
      <c r="E836" s="1">
        <v>2</v>
      </c>
      <c r="F836" s="1">
        <v>3</v>
      </c>
      <c r="G836" s="1">
        <v>2</v>
      </c>
      <c r="H836" s="1">
        <v>0</v>
      </c>
      <c r="I836" s="1">
        <f t="shared" si="115"/>
        <v>2</v>
      </c>
      <c r="J836" s="1">
        <f>_xlfn.XLOOKUP(A836,'[1]Point of Sale Analysis'!$A:$A,'[1]Point of Sale Analysis'!$B:$B,"not found",0)</f>
        <v>2</v>
      </c>
      <c r="K836" s="1">
        <f t="shared" si="116"/>
        <v>0</v>
      </c>
    </row>
    <row r="837" spans="1:11" hidden="1" x14ac:dyDescent="0.3">
      <c r="A837" t="s">
        <v>843</v>
      </c>
      <c r="C837">
        <v>1</v>
      </c>
      <c r="D837">
        <v>1</v>
      </c>
      <c r="E837">
        <v>1</v>
      </c>
      <c r="F837">
        <v>3</v>
      </c>
      <c r="G837">
        <v>3</v>
      </c>
      <c r="H837">
        <v>0</v>
      </c>
      <c r="I837">
        <f t="shared" si="115"/>
        <v>3</v>
      </c>
      <c r="J837" t="str">
        <f>_xlfn.XLOOKUP(A837,'[1]Point of Sale Analysis'!$A:$A,'[1]Point of Sale Analysis'!$B:$B,"not found",0)</f>
        <v>not found</v>
      </c>
    </row>
    <row r="838" spans="1:11" hidden="1" x14ac:dyDescent="0.3">
      <c r="A838" t="s">
        <v>844</v>
      </c>
      <c r="B838">
        <v>1</v>
      </c>
      <c r="C838">
        <v>2</v>
      </c>
      <c r="E838">
        <v>3</v>
      </c>
      <c r="F838">
        <v>0</v>
      </c>
      <c r="G838">
        <v>0</v>
      </c>
      <c r="H838">
        <v>2</v>
      </c>
      <c r="I838">
        <f t="shared" si="115"/>
        <v>2</v>
      </c>
      <c r="J838" t="str">
        <f>_xlfn.XLOOKUP(A838,'[1]Point of Sale Analysis'!$A:$A,'[1]Point of Sale Analysis'!$B:$B,"not found",0)</f>
        <v>not found</v>
      </c>
    </row>
    <row r="839" spans="1:11" hidden="1" x14ac:dyDescent="0.3">
      <c r="A839" t="s">
        <v>845</v>
      </c>
      <c r="B839">
        <v>0</v>
      </c>
      <c r="C839">
        <v>1</v>
      </c>
      <c r="D839">
        <v>1</v>
      </c>
      <c r="E839">
        <v>3</v>
      </c>
      <c r="F839">
        <v>14</v>
      </c>
      <c r="G839">
        <v>5</v>
      </c>
      <c r="H839">
        <v>0</v>
      </c>
      <c r="I839">
        <f t="shared" si="115"/>
        <v>5</v>
      </c>
      <c r="J839" t="str">
        <f>_xlfn.XLOOKUP(A839,'[1]Point of Sale Analysis'!$A:$A,'[1]Point of Sale Analysis'!$B:$B,"not found",0)</f>
        <v>not found</v>
      </c>
    </row>
    <row r="840" spans="1:11" hidden="1" x14ac:dyDescent="0.3">
      <c r="A840" t="s">
        <v>846</v>
      </c>
      <c r="B840">
        <v>2</v>
      </c>
      <c r="E840">
        <v>1</v>
      </c>
      <c r="F840">
        <v>0</v>
      </c>
      <c r="G840">
        <v>3</v>
      </c>
      <c r="H840">
        <v>0</v>
      </c>
      <c r="I840">
        <f t="shared" si="115"/>
        <v>3</v>
      </c>
      <c r="J840" t="str">
        <f>_xlfn.XLOOKUP(A840,'[1]Point of Sale Analysis'!$A:$A,'[1]Point of Sale Analysis'!$B:$B,"not found",0)</f>
        <v>not found</v>
      </c>
    </row>
    <row r="841" spans="1:11" x14ac:dyDescent="0.3">
      <c r="A841" s="1" t="s">
        <v>847</v>
      </c>
      <c r="B841" s="1">
        <v>3</v>
      </c>
      <c r="C841" s="1">
        <v>1</v>
      </c>
      <c r="D841" s="1">
        <v>2</v>
      </c>
      <c r="E841" s="1">
        <v>2</v>
      </c>
      <c r="F841" s="1">
        <v>7</v>
      </c>
      <c r="G841" s="1">
        <v>5</v>
      </c>
      <c r="H841" s="1">
        <v>0</v>
      </c>
      <c r="I841" s="1">
        <f t="shared" si="115"/>
        <v>5</v>
      </c>
      <c r="J841" s="1">
        <f>_xlfn.XLOOKUP(A841,'[1]Point of Sale Analysis'!$A:$A,'[1]Point of Sale Analysis'!$B:$B,"not found",0)</f>
        <v>4</v>
      </c>
      <c r="K841" s="1">
        <f t="shared" ref="K841:K852" si="117">ABS(J841-I841)</f>
        <v>1</v>
      </c>
    </row>
    <row r="842" spans="1:11" x14ac:dyDescent="0.3">
      <c r="A842" s="1" t="s">
        <v>848</v>
      </c>
      <c r="B842" s="1">
        <v>7</v>
      </c>
      <c r="C842" s="1">
        <v>16</v>
      </c>
      <c r="D842" s="1">
        <v>13</v>
      </c>
      <c r="E842" s="1">
        <v>12</v>
      </c>
      <c r="F842" s="1">
        <v>1</v>
      </c>
      <c r="G842" s="1">
        <v>3</v>
      </c>
      <c r="H842" s="1">
        <v>9</v>
      </c>
      <c r="I842" s="1">
        <f t="shared" si="115"/>
        <v>12</v>
      </c>
      <c r="J842" s="1">
        <f>_xlfn.XLOOKUP(A842,'[1]Point of Sale Analysis'!$A:$A,'[1]Point of Sale Analysis'!$B:$B,"not found",0)</f>
        <v>2</v>
      </c>
      <c r="K842" s="1">
        <f t="shared" si="117"/>
        <v>10</v>
      </c>
    </row>
    <row r="843" spans="1:11" x14ac:dyDescent="0.3">
      <c r="A843" s="1" t="s">
        <v>849</v>
      </c>
      <c r="B843" s="1">
        <v>8</v>
      </c>
      <c r="C843" s="1">
        <v>4</v>
      </c>
      <c r="D843" s="1">
        <v>3</v>
      </c>
      <c r="E843" s="1">
        <v>6</v>
      </c>
      <c r="F843" s="1">
        <v>0</v>
      </c>
      <c r="G843" s="1">
        <v>1</v>
      </c>
      <c r="H843" s="1">
        <v>4</v>
      </c>
      <c r="I843" s="1">
        <f t="shared" si="115"/>
        <v>5</v>
      </c>
      <c r="J843" s="1">
        <f>_xlfn.XLOOKUP(A843,'[1]Point of Sale Analysis'!$A:$A,'[1]Point of Sale Analysis'!$B:$B,"not found",0)</f>
        <v>5</v>
      </c>
      <c r="K843" s="1">
        <f t="shared" si="117"/>
        <v>0</v>
      </c>
    </row>
    <row r="844" spans="1:11" x14ac:dyDescent="0.3">
      <c r="A844" s="1" t="s">
        <v>850</v>
      </c>
      <c r="B844" s="1">
        <v>17</v>
      </c>
      <c r="C844" s="1">
        <v>12</v>
      </c>
      <c r="D844" s="1">
        <v>9</v>
      </c>
      <c r="E844" s="1">
        <v>9</v>
      </c>
      <c r="F844" s="1">
        <v>1</v>
      </c>
      <c r="G844" s="1">
        <v>-13</v>
      </c>
      <c r="H844" s="1">
        <v>23</v>
      </c>
      <c r="I844" s="1">
        <f t="shared" si="115"/>
        <v>10</v>
      </c>
      <c r="J844" s="1">
        <f>_xlfn.XLOOKUP(A844,'[1]Point of Sale Analysis'!$A:$A,'[1]Point of Sale Analysis'!$B:$B,"not found",0)</f>
        <v>10</v>
      </c>
      <c r="K844" s="1">
        <f t="shared" si="117"/>
        <v>0</v>
      </c>
    </row>
    <row r="845" spans="1:11" x14ac:dyDescent="0.3">
      <c r="A845" s="1" t="s">
        <v>851</v>
      </c>
      <c r="B845" s="1">
        <v>4</v>
      </c>
      <c r="C845" s="1">
        <v>1</v>
      </c>
      <c r="D845" s="1">
        <v>1</v>
      </c>
      <c r="E845" s="1">
        <v>6</v>
      </c>
      <c r="F845" s="1">
        <v>18</v>
      </c>
      <c r="G845" s="1">
        <v>3</v>
      </c>
      <c r="H845" s="1">
        <v>0</v>
      </c>
      <c r="I845" s="1">
        <f t="shared" si="115"/>
        <v>3</v>
      </c>
      <c r="J845" s="1">
        <f>_xlfn.XLOOKUP(A845,'[1]Point of Sale Analysis'!$A:$A,'[1]Point of Sale Analysis'!$B:$B,"not found",0)</f>
        <v>1</v>
      </c>
      <c r="K845" s="1">
        <f t="shared" si="117"/>
        <v>2</v>
      </c>
    </row>
    <row r="846" spans="1:11" x14ac:dyDescent="0.3">
      <c r="A846" s="1" t="s">
        <v>852</v>
      </c>
      <c r="B846" s="1">
        <v>4</v>
      </c>
      <c r="C846" s="1">
        <v>1</v>
      </c>
      <c r="D846" s="1"/>
      <c r="E846" s="1"/>
      <c r="F846" s="1">
        <v>14</v>
      </c>
      <c r="G846" s="1">
        <v>7</v>
      </c>
      <c r="H846" s="1">
        <v>0</v>
      </c>
      <c r="I846" s="1">
        <f t="shared" si="115"/>
        <v>7</v>
      </c>
      <c r="J846" s="1">
        <f>_xlfn.XLOOKUP(A846,'[1]Point of Sale Analysis'!$A:$A,'[1]Point of Sale Analysis'!$B:$B,"not found",0)</f>
        <v>2</v>
      </c>
      <c r="K846" s="1">
        <f t="shared" si="117"/>
        <v>5</v>
      </c>
    </row>
    <row r="847" spans="1:11" x14ac:dyDescent="0.3">
      <c r="A847" s="1" t="s">
        <v>853</v>
      </c>
      <c r="B847" s="1">
        <v>1</v>
      </c>
      <c r="C847" s="1">
        <v>1</v>
      </c>
      <c r="D847" s="1">
        <v>1</v>
      </c>
      <c r="E847" s="1">
        <v>2</v>
      </c>
      <c r="F847" s="1">
        <v>3</v>
      </c>
      <c r="G847" s="1">
        <v>2</v>
      </c>
      <c r="H847" s="1">
        <v>0</v>
      </c>
      <c r="I847" s="1">
        <f t="shared" si="115"/>
        <v>2</v>
      </c>
      <c r="J847" s="1">
        <f>_xlfn.XLOOKUP(A847,'[1]Point of Sale Analysis'!$A:$A,'[1]Point of Sale Analysis'!$B:$B,"not found",0)</f>
        <v>2</v>
      </c>
      <c r="K847" s="1">
        <f t="shared" si="117"/>
        <v>0</v>
      </c>
    </row>
    <row r="848" spans="1:11" x14ac:dyDescent="0.3">
      <c r="A848" s="1" t="s">
        <v>854</v>
      </c>
      <c r="B848" s="1">
        <v>1</v>
      </c>
      <c r="C848" s="1">
        <v>1</v>
      </c>
      <c r="D848" s="1"/>
      <c r="E848" s="1">
        <v>1</v>
      </c>
      <c r="F848" s="1">
        <v>15</v>
      </c>
      <c r="G848" s="1">
        <v>3</v>
      </c>
      <c r="H848" s="1">
        <v>0</v>
      </c>
      <c r="I848" s="1">
        <f t="shared" si="115"/>
        <v>3</v>
      </c>
      <c r="J848" s="1">
        <f>_xlfn.XLOOKUP(A848,'[1]Point of Sale Analysis'!$A:$A,'[1]Point of Sale Analysis'!$B:$B,"not found",0)</f>
        <v>2</v>
      </c>
      <c r="K848" s="1">
        <f t="shared" si="117"/>
        <v>1</v>
      </c>
    </row>
    <row r="849" spans="1:11" x14ac:dyDescent="0.3">
      <c r="A849" s="1" t="s">
        <v>855</v>
      </c>
      <c r="B849" s="1">
        <v>37</v>
      </c>
      <c r="C849" s="1">
        <v>21</v>
      </c>
      <c r="D849" s="1">
        <v>25</v>
      </c>
      <c r="E849" s="1">
        <v>15</v>
      </c>
      <c r="F849" s="1">
        <v>0</v>
      </c>
      <c r="G849" s="1">
        <v>-3</v>
      </c>
      <c r="H849" s="1">
        <v>26</v>
      </c>
      <c r="I849" s="1">
        <f t="shared" si="115"/>
        <v>23</v>
      </c>
      <c r="J849" s="1">
        <f>_xlfn.XLOOKUP(A849,'[1]Point of Sale Analysis'!$A:$A,'[1]Point of Sale Analysis'!$B:$B,"not found",0)</f>
        <v>19</v>
      </c>
      <c r="K849" s="1">
        <f t="shared" si="117"/>
        <v>4</v>
      </c>
    </row>
    <row r="850" spans="1:11" x14ac:dyDescent="0.3">
      <c r="A850" s="1" t="s">
        <v>856</v>
      </c>
      <c r="B850" s="1">
        <v>11</v>
      </c>
      <c r="C850" s="1">
        <v>1</v>
      </c>
      <c r="D850" s="1">
        <v>6</v>
      </c>
      <c r="E850" s="1">
        <v>3</v>
      </c>
      <c r="F850" s="1">
        <v>7</v>
      </c>
      <c r="G850" s="1">
        <v>0</v>
      </c>
      <c r="H850" s="1">
        <v>4</v>
      </c>
      <c r="I850" s="1">
        <f t="shared" si="115"/>
        <v>4</v>
      </c>
      <c r="J850" s="1">
        <f>_xlfn.XLOOKUP(A850,'[1]Point of Sale Analysis'!$A:$A,'[1]Point of Sale Analysis'!$B:$B,"not found",0)</f>
        <v>3</v>
      </c>
      <c r="K850" s="1">
        <f t="shared" si="117"/>
        <v>1</v>
      </c>
    </row>
    <row r="851" spans="1:11" x14ac:dyDescent="0.3">
      <c r="A851" s="1" t="s">
        <v>857</v>
      </c>
      <c r="B851" s="1">
        <v>3</v>
      </c>
      <c r="C851" s="1">
        <v>3</v>
      </c>
      <c r="D851" s="1">
        <v>2</v>
      </c>
      <c r="E851" s="1">
        <v>5</v>
      </c>
      <c r="F851" s="1">
        <v>0</v>
      </c>
      <c r="G851" s="1">
        <v>0</v>
      </c>
      <c r="H851" s="1">
        <v>3</v>
      </c>
      <c r="I851" s="1">
        <f t="shared" si="115"/>
        <v>3</v>
      </c>
      <c r="J851" s="1">
        <f>_xlfn.XLOOKUP(A851,'[1]Point of Sale Analysis'!$A:$A,'[1]Point of Sale Analysis'!$B:$B,"not found",0)</f>
        <v>4</v>
      </c>
      <c r="K851" s="1">
        <f t="shared" si="117"/>
        <v>1</v>
      </c>
    </row>
    <row r="852" spans="1:11" x14ac:dyDescent="0.3">
      <c r="A852" s="1" t="s">
        <v>858</v>
      </c>
      <c r="B852" s="1">
        <v>1</v>
      </c>
      <c r="C852" s="1">
        <v>5</v>
      </c>
      <c r="D852" s="1"/>
      <c r="E852" s="1"/>
      <c r="F852" s="1">
        <v>6</v>
      </c>
      <c r="G852" s="1">
        <v>6</v>
      </c>
      <c r="H852" s="1">
        <v>0</v>
      </c>
      <c r="I852" s="1">
        <f t="shared" si="115"/>
        <v>6</v>
      </c>
      <c r="J852" s="1">
        <f>_xlfn.XLOOKUP(A852,'[1]Point of Sale Analysis'!$A:$A,'[1]Point of Sale Analysis'!$B:$B,"not found",0)</f>
        <v>2</v>
      </c>
      <c r="K852" s="1">
        <f t="shared" si="117"/>
        <v>4</v>
      </c>
    </row>
    <row r="853" spans="1:11" hidden="1" x14ac:dyDescent="0.3">
      <c r="A853" t="s">
        <v>859</v>
      </c>
      <c r="B853">
        <v>11</v>
      </c>
      <c r="C853">
        <v>4</v>
      </c>
      <c r="D853">
        <v>1</v>
      </c>
      <c r="E853">
        <v>4</v>
      </c>
      <c r="F853">
        <v>0</v>
      </c>
      <c r="G853">
        <v>0</v>
      </c>
      <c r="H853">
        <v>4</v>
      </c>
      <c r="I853">
        <f t="shared" si="115"/>
        <v>4</v>
      </c>
      <c r="J853" t="str">
        <f>_xlfn.XLOOKUP(A853,'[1]Point of Sale Analysis'!$A:$A,'[1]Point of Sale Analysis'!$B:$B,"not found",0)</f>
        <v>not found</v>
      </c>
    </row>
    <row r="854" spans="1:11" x14ac:dyDescent="0.3">
      <c r="A854" s="1" t="s">
        <v>860</v>
      </c>
      <c r="B854" s="1">
        <v>1</v>
      </c>
      <c r="C854" s="1"/>
      <c r="D854" s="1">
        <v>1</v>
      </c>
      <c r="E854" s="1">
        <v>1</v>
      </c>
      <c r="F854" s="1">
        <v>6</v>
      </c>
      <c r="G854" s="1">
        <v>1</v>
      </c>
      <c r="H854" s="1">
        <v>0</v>
      </c>
      <c r="I854" s="1">
        <f t="shared" si="115"/>
        <v>1</v>
      </c>
      <c r="J854" s="1">
        <f>_xlfn.XLOOKUP(A854,'[1]Point of Sale Analysis'!$A:$A,'[1]Point of Sale Analysis'!$B:$B,"not found",0)</f>
        <v>2</v>
      </c>
      <c r="K854" s="1">
        <f>ABS(J854-I854)</f>
        <v>1</v>
      </c>
    </row>
    <row r="855" spans="1:11" hidden="1" x14ac:dyDescent="0.3">
      <c r="A855" t="s">
        <v>861</v>
      </c>
      <c r="B855">
        <v>1</v>
      </c>
      <c r="D855">
        <v>1</v>
      </c>
      <c r="F855">
        <v>1</v>
      </c>
      <c r="G855">
        <v>4</v>
      </c>
      <c r="H855">
        <v>0</v>
      </c>
      <c r="I855">
        <f t="shared" si="115"/>
        <v>4</v>
      </c>
      <c r="J855" t="str">
        <f>_xlfn.XLOOKUP(A855,'[1]Point of Sale Analysis'!$A:$A,'[1]Point of Sale Analysis'!$B:$B,"not found",0)</f>
        <v>not found</v>
      </c>
    </row>
    <row r="856" spans="1:11" hidden="1" x14ac:dyDescent="0.3">
      <c r="A856" t="s">
        <v>862</v>
      </c>
      <c r="E856">
        <v>1</v>
      </c>
      <c r="F856">
        <v>12</v>
      </c>
      <c r="G856">
        <v>4</v>
      </c>
      <c r="H856">
        <v>0</v>
      </c>
      <c r="I856">
        <f t="shared" si="115"/>
        <v>4</v>
      </c>
      <c r="J856" t="str">
        <f>_xlfn.XLOOKUP(A856,'[1]Point of Sale Analysis'!$A:$A,'[1]Point of Sale Analysis'!$B:$B,"not found",0)</f>
        <v>not found</v>
      </c>
    </row>
    <row r="857" spans="1:11" x14ac:dyDescent="0.3">
      <c r="A857" s="1" t="s">
        <v>863</v>
      </c>
      <c r="B857" s="1">
        <v>1</v>
      </c>
      <c r="C857" s="1"/>
      <c r="D857" s="1">
        <v>1</v>
      </c>
      <c r="E857" s="1">
        <v>3</v>
      </c>
      <c r="F857" s="1">
        <v>8</v>
      </c>
      <c r="G857" s="1">
        <v>3</v>
      </c>
      <c r="H857" s="1">
        <v>0</v>
      </c>
      <c r="I857" s="1">
        <f t="shared" si="115"/>
        <v>3</v>
      </c>
      <c r="J857" s="1">
        <f>_xlfn.XLOOKUP(A857,'[1]Point of Sale Analysis'!$A:$A,'[1]Point of Sale Analysis'!$B:$B,"not found",0)</f>
        <v>1</v>
      </c>
      <c r="K857" s="1">
        <f>ABS(J857-I857)</f>
        <v>2</v>
      </c>
    </row>
    <row r="858" spans="1:11" hidden="1" x14ac:dyDescent="0.3">
      <c r="A858" t="s">
        <v>864</v>
      </c>
      <c r="D858">
        <v>3</v>
      </c>
      <c r="E858">
        <v>2</v>
      </c>
      <c r="F858">
        <v>3</v>
      </c>
      <c r="G858">
        <v>2</v>
      </c>
      <c r="H858">
        <v>0</v>
      </c>
      <c r="I858">
        <f t="shared" si="115"/>
        <v>2</v>
      </c>
      <c r="J858" t="str">
        <f>_xlfn.XLOOKUP(A858,'[1]Point of Sale Analysis'!$A:$A,'[1]Point of Sale Analysis'!$B:$B,"not found",0)</f>
        <v>not found</v>
      </c>
    </row>
    <row r="859" spans="1:11" x14ac:dyDescent="0.3">
      <c r="A859" s="1" t="s">
        <v>865</v>
      </c>
      <c r="B859" s="1">
        <v>5</v>
      </c>
      <c r="C859" s="1">
        <v>1</v>
      </c>
      <c r="D859" s="1">
        <v>4</v>
      </c>
      <c r="E859" s="1">
        <v>2</v>
      </c>
      <c r="F859" s="1">
        <v>6</v>
      </c>
      <c r="G859" s="1">
        <v>4</v>
      </c>
      <c r="H859" s="1">
        <v>0</v>
      </c>
      <c r="I859" s="1">
        <f t="shared" si="115"/>
        <v>4</v>
      </c>
      <c r="J859" s="1">
        <f>_xlfn.XLOOKUP(A859,'[1]Point of Sale Analysis'!$A:$A,'[1]Point of Sale Analysis'!$B:$B,"not found",0)</f>
        <v>6</v>
      </c>
      <c r="K859" s="1">
        <f t="shared" ref="K859:K863" si="118">ABS(J859-I859)</f>
        <v>2</v>
      </c>
    </row>
    <row r="860" spans="1:11" x14ac:dyDescent="0.3">
      <c r="A860" s="1" t="s">
        <v>866</v>
      </c>
      <c r="B860" s="1">
        <v>3</v>
      </c>
      <c r="C860" s="1">
        <v>2</v>
      </c>
      <c r="D860" s="1"/>
      <c r="E860" s="1"/>
      <c r="F860" s="1">
        <v>2</v>
      </c>
      <c r="G860" s="1">
        <v>5</v>
      </c>
      <c r="H860" s="1">
        <v>0</v>
      </c>
      <c r="I860" s="1">
        <f t="shared" si="115"/>
        <v>5</v>
      </c>
      <c r="J860" s="1">
        <f>_xlfn.XLOOKUP(A860,'[1]Point of Sale Analysis'!$A:$A,'[1]Point of Sale Analysis'!$B:$B,"not found",0)</f>
        <v>1</v>
      </c>
      <c r="K860" s="1">
        <f t="shared" si="118"/>
        <v>4</v>
      </c>
    </row>
    <row r="861" spans="1:11" x14ac:dyDescent="0.3">
      <c r="A861" s="1" t="s">
        <v>867</v>
      </c>
      <c r="B861" s="1">
        <v>5</v>
      </c>
      <c r="C861" s="1"/>
      <c r="D861" s="1">
        <v>4</v>
      </c>
      <c r="E861" s="1"/>
      <c r="F861" s="1">
        <v>13</v>
      </c>
      <c r="G861" s="1">
        <v>4</v>
      </c>
      <c r="H861" s="1">
        <v>0</v>
      </c>
      <c r="I861" s="1">
        <f t="shared" si="115"/>
        <v>4</v>
      </c>
      <c r="J861" s="1">
        <f>_xlfn.XLOOKUP(A861,'[1]Point of Sale Analysis'!$A:$A,'[1]Point of Sale Analysis'!$B:$B,"not found",0)</f>
        <v>1</v>
      </c>
      <c r="K861" s="1">
        <f t="shared" si="118"/>
        <v>3</v>
      </c>
    </row>
    <row r="862" spans="1:11" x14ac:dyDescent="0.3">
      <c r="A862" s="1" t="s">
        <v>868</v>
      </c>
      <c r="B862" s="1">
        <v>4</v>
      </c>
      <c r="C862" s="1">
        <v>5</v>
      </c>
      <c r="D862" s="1">
        <v>2</v>
      </c>
      <c r="E862" s="1">
        <v>4</v>
      </c>
      <c r="F862" s="1">
        <v>18</v>
      </c>
      <c r="G862" s="1">
        <v>6</v>
      </c>
      <c r="H862" s="1">
        <v>0</v>
      </c>
      <c r="I862" s="1">
        <f t="shared" si="115"/>
        <v>6</v>
      </c>
      <c r="J862" s="1">
        <f>_xlfn.XLOOKUP(A862,'[1]Point of Sale Analysis'!$A:$A,'[1]Point of Sale Analysis'!$B:$B,"not found",0)</f>
        <v>3</v>
      </c>
      <c r="K862" s="1">
        <f t="shared" si="118"/>
        <v>3</v>
      </c>
    </row>
    <row r="863" spans="1:11" x14ac:dyDescent="0.3">
      <c r="A863" s="1" t="s">
        <v>869</v>
      </c>
      <c r="B863" s="1">
        <v>11</v>
      </c>
      <c r="C863" s="1">
        <v>6</v>
      </c>
      <c r="D863" s="1">
        <v>10</v>
      </c>
      <c r="E863" s="1">
        <v>3</v>
      </c>
      <c r="F863" s="1">
        <v>2</v>
      </c>
      <c r="G863" s="1">
        <v>3</v>
      </c>
      <c r="H863" s="1">
        <v>5</v>
      </c>
      <c r="I863" s="1">
        <f t="shared" si="115"/>
        <v>8</v>
      </c>
      <c r="J863" s="1">
        <f>_xlfn.XLOOKUP(A863,'[1]Point of Sale Analysis'!$A:$A,'[1]Point of Sale Analysis'!$B:$B,"not found",0)</f>
        <v>6</v>
      </c>
      <c r="K863" s="1">
        <f t="shared" si="118"/>
        <v>2</v>
      </c>
    </row>
    <row r="864" spans="1:11" hidden="1" x14ac:dyDescent="0.3">
      <c r="A864" t="s">
        <v>870</v>
      </c>
      <c r="E864">
        <v>2</v>
      </c>
      <c r="F864">
        <v>5</v>
      </c>
      <c r="G864">
        <v>4</v>
      </c>
      <c r="H864">
        <v>0</v>
      </c>
      <c r="I864">
        <f t="shared" si="115"/>
        <v>4</v>
      </c>
      <c r="J864" t="str">
        <f>_xlfn.XLOOKUP(A864,'[1]Point of Sale Analysis'!$A:$A,'[1]Point of Sale Analysis'!$B:$B,"not found",0)</f>
        <v>not found</v>
      </c>
    </row>
    <row r="865" spans="1:11" hidden="1" x14ac:dyDescent="0.3">
      <c r="A865" t="s">
        <v>871</v>
      </c>
      <c r="B865">
        <v>5</v>
      </c>
      <c r="C865">
        <v>4</v>
      </c>
      <c r="D865">
        <v>2</v>
      </c>
      <c r="F865">
        <v>17</v>
      </c>
      <c r="G865">
        <v>5</v>
      </c>
      <c r="H865">
        <v>0</v>
      </c>
      <c r="I865">
        <f t="shared" si="115"/>
        <v>5</v>
      </c>
      <c r="J865" t="str">
        <f>_xlfn.XLOOKUP(A865,'[1]Point of Sale Analysis'!$A:$A,'[1]Point of Sale Analysis'!$B:$B,"not found",0)</f>
        <v>not found</v>
      </c>
    </row>
    <row r="866" spans="1:11" x14ac:dyDescent="0.3">
      <c r="A866" s="1" t="s">
        <v>872</v>
      </c>
      <c r="B866" s="1">
        <v>4</v>
      </c>
      <c r="C866" s="1">
        <v>1</v>
      </c>
      <c r="D866" s="1">
        <v>2</v>
      </c>
      <c r="E866" s="1">
        <v>9</v>
      </c>
      <c r="F866" s="1">
        <v>10</v>
      </c>
      <c r="G866" s="1">
        <v>4</v>
      </c>
      <c r="H866" s="1">
        <v>0</v>
      </c>
      <c r="I866" s="1">
        <f t="shared" si="115"/>
        <v>4</v>
      </c>
      <c r="J866" s="1">
        <f>_xlfn.XLOOKUP(A866,'[1]Point of Sale Analysis'!$A:$A,'[1]Point of Sale Analysis'!$B:$B,"not found",0)</f>
        <v>2</v>
      </c>
      <c r="K866" s="1">
        <f>ABS(J866-I866)</f>
        <v>2</v>
      </c>
    </row>
    <row r="867" spans="1:11" hidden="1" x14ac:dyDescent="0.3">
      <c r="A867" t="s">
        <v>873</v>
      </c>
      <c r="B867">
        <v>1</v>
      </c>
      <c r="F867">
        <v>7</v>
      </c>
      <c r="G867">
        <v>0</v>
      </c>
      <c r="H867">
        <v>1</v>
      </c>
      <c r="I867">
        <f t="shared" si="115"/>
        <v>1</v>
      </c>
      <c r="J867" t="str">
        <f>_xlfn.XLOOKUP(A867,'[1]Point of Sale Analysis'!$A:$A,'[1]Point of Sale Analysis'!$B:$B,"not found",0)</f>
        <v>not found</v>
      </c>
    </row>
    <row r="868" spans="1:11" hidden="1" x14ac:dyDescent="0.3">
      <c r="A868" t="s">
        <v>874</v>
      </c>
      <c r="C868">
        <v>1</v>
      </c>
      <c r="D868">
        <v>1</v>
      </c>
      <c r="E868">
        <v>1</v>
      </c>
      <c r="F868">
        <v>5</v>
      </c>
      <c r="G868">
        <v>5</v>
      </c>
      <c r="H868">
        <v>0</v>
      </c>
      <c r="I868">
        <f t="shared" si="115"/>
        <v>5</v>
      </c>
      <c r="J868" t="str">
        <f>_xlfn.XLOOKUP(A868,'[1]Point of Sale Analysis'!$A:$A,'[1]Point of Sale Analysis'!$B:$B,"not found",0)</f>
        <v>not found</v>
      </c>
    </row>
    <row r="869" spans="1:11" hidden="1" x14ac:dyDescent="0.3">
      <c r="A869" t="s">
        <v>875</v>
      </c>
      <c r="B869">
        <v>1</v>
      </c>
      <c r="C869">
        <v>1</v>
      </c>
      <c r="D869">
        <v>2</v>
      </c>
      <c r="F869">
        <v>6</v>
      </c>
      <c r="G869">
        <v>2</v>
      </c>
      <c r="H869">
        <v>0</v>
      </c>
      <c r="I869">
        <f t="shared" si="115"/>
        <v>2</v>
      </c>
      <c r="J869" t="str">
        <f>_xlfn.XLOOKUP(A869,'[1]Point of Sale Analysis'!$A:$A,'[1]Point of Sale Analysis'!$B:$B,"not found",0)</f>
        <v>not found</v>
      </c>
    </row>
    <row r="870" spans="1:11" x14ac:dyDescent="0.3">
      <c r="A870" s="1" t="s">
        <v>876</v>
      </c>
      <c r="B870" s="1">
        <v>1</v>
      </c>
      <c r="C870" s="1"/>
      <c r="D870" s="1">
        <v>1</v>
      </c>
      <c r="E870" s="1"/>
      <c r="F870" s="1">
        <v>5</v>
      </c>
      <c r="G870" s="1">
        <v>1</v>
      </c>
      <c r="H870" s="1">
        <v>0</v>
      </c>
      <c r="I870" s="1">
        <f t="shared" si="115"/>
        <v>1</v>
      </c>
      <c r="J870" s="1">
        <f>_xlfn.XLOOKUP(A870,'[1]Point of Sale Analysis'!$A:$A,'[1]Point of Sale Analysis'!$B:$B,"not found",0)</f>
        <v>2</v>
      </c>
      <c r="K870" s="1">
        <f t="shared" ref="K870:K871" si="119">ABS(J870-I870)</f>
        <v>1</v>
      </c>
    </row>
    <row r="871" spans="1:11" x14ac:dyDescent="0.3">
      <c r="A871" s="1" t="s">
        <v>877</v>
      </c>
      <c r="B871" s="1">
        <v>1</v>
      </c>
      <c r="C871" s="1">
        <v>1</v>
      </c>
      <c r="D871" s="1"/>
      <c r="E871" s="1">
        <v>2</v>
      </c>
      <c r="F871" s="1">
        <v>11</v>
      </c>
      <c r="G871" s="1">
        <v>2</v>
      </c>
      <c r="H871" s="1">
        <v>0</v>
      </c>
      <c r="I871" s="1">
        <f t="shared" si="115"/>
        <v>2</v>
      </c>
      <c r="J871" s="1">
        <f>_xlfn.XLOOKUP(A871,'[1]Point of Sale Analysis'!$A:$A,'[1]Point of Sale Analysis'!$B:$B,"not found",0)</f>
        <v>1</v>
      </c>
      <c r="K871" s="1">
        <f t="shared" si="119"/>
        <v>1</v>
      </c>
    </row>
    <row r="872" spans="1:11" hidden="1" x14ac:dyDescent="0.3">
      <c r="A872" t="s">
        <v>878</v>
      </c>
      <c r="C872">
        <v>1</v>
      </c>
      <c r="F872">
        <v>0</v>
      </c>
      <c r="G872">
        <v>2</v>
      </c>
      <c r="H872">
        <v>0</v>
      </c>
      <c r="I872">
        <f t="shared" si="115"/>
        <v>2</v>
      </c>
      <c r="J872" t="str">
        <f>_xlfn.XLOOKUP(A872,'[1]Point of Sale Analysis'!$A:$A,'[1]Point of Sale Analysis'!$B:$B,"not found",0)</f>
        <v>not found</v>
      </c>
    </row>
    <row r="873" spans="1:11" hidden="1" x14ac:dyDescent="0.3">
      <c r="A873" t="s">
        <v>879</v>
      </c>
      <c r="E873">
        <v>2</v>
      </c>
      <c r="F873">
        <v>0</v>
      </c>
      <c r="G873">
        <v>1</v>
      </c>
      <c r="H873">
        <v>1</v>
      </c>
      <c r="I873">
        <f t="shared" si="115"/>
        <v>2</v>
      </c>
      <c r="J873" t="str">
        <f>_xlfn.XLOOKUP(A873,'[1]Point of Sale Analysis'!$A:$A,'[1]Point of Sale Analysis'!$B:$B,"not found",0)</f>
        <v>not found</v>
      </c>
    </row>
    <row r="874" spans="1:11" x14ac:dyDescent="0.3">
      <c r="A874" s="1" t="s">
        <v>880</v>
      </c>
      <c r="B874" s="1">
        <v>4</v>
      </c>
      <c r="C874" s="1">
        <v>2</v>
      </c>
      <c r="D874" s="1">
        <v>2</v>
      </c>
      <c r="E874" s="1">
        <v>3</v>
      </c>
      <c r="F874" s="1">
        <v>0</v>
      </c>
      <c r="G874" s="1">
        <v>4</v>
      </c>
      <c r="H874" s="1">
        <v>0</v>
      </c>
      <c r="I874" s="1">
        <f t="shared" si="115"/>
        <v>4</v>
      </c>
      <c r="J874" s="1">
        <f>_xlfn.XLOOKUP(A874,'[1]Point of Sale Analysis'!$A:$A,'[1]Point of Sale Analysis'!$B:$B,"not found",0)</f>
        <v>3</v>
      </c>
      <c r="K874" s="1">
        <f t="shared" ref="K874:K875" si="120">ABS(J874-I874)</f>
        <v>1</v>
      </c>
    </row>
    <row r="875" spans="1:11" x14ac:dyDescent="0.3">
      <c r="A875" s="1" t="s">
        <v>881</v>
      </c>
      <c r="B875" s="1">
        <v>2</v>
      </c>
      <c r="C875" s="1">
        <v>4</v>
      </c>
      <c r="D875" s="1">
        <v>7</v>
      </c>
      <c r="E875" s="1"/>
      <c r="F875" s="1">
        <v>0</v>
      </c>
      <c r="G875" s="1">
        <v>0</v>
      </c>
      <c r="H875" s="1">
        <v>4</v>
      </c>
      <c r="I875" s="1">
        <f t="shared" si="115"/>
        <v>4</v>
      </c>
      <c r="J875" s="1">
        <f>_xlfn.XLOOKUP(A875,'[1]Point of Sale Analysis'!$A:$A,'[1]Point of Sale Analysis'!$B:$B,"not found",0)</f>
        <v>2</v>
      </c>
      <c r="K875" s="1">
        <f t="shared" si="120"/>
        <v>2</v>
      </c>
    </row>
    <row r="876" spans="1:11" hidden="1" x14ac:dyDescent="0.3">
      <c r="A876" t="s">
        <v>882</v>
      </c>
      <c r="B876">
        <v>4</v>
      </c>
      <c r="C876">
        <v>3</v>
      </c>
      <c r="D876">
        <v>3</v>
      </c>
      <c r="E876">
        <v>2</v>
      </c>
      <c r="F876">
        <v>3</v>
      </c>
      <c r="G876">
        <v>3</v>
      </c>
      <c r="H876">
        <v>0</v>
      </c>
      <c r="I876">
        <f t="shared" si="115"/>
        <v>3</v>
      </c>
      <c r="J876" t="str">
        <f>_xlfn.XLOOKUP(A876,'[1]Point of Sale Analysis'!$A:$A,'[1]Point of Sale Analysis'!$B:$B,"not found",0)</f>
        <v>not found</v>
      </c>
    </row>
    <row r="877" spans="1:11" x14ac:dyDescent="0.3">
      <c r="A877" s="1" t="s">
        <v>883</v>
      </c>
      <c r="B877" s="1">
        <v>6</v>
      </c>
      <c r="C877" s="1">
        <v>8</v>
      </c>
      <c r="D877" s="1">
        <v>6</v>
      </c>
      <c r="E877" s="1">
        <v>6</v>
      </c>
      <c r="F877" s="1">
        <v>3</v>
      </c>
      <c r="G877" s="1">
        <v>-1</v>
      </c>
      <c r="H877" s="1">
        <v>7</v>
      </c>
      <c r="I877" s="1">
        <f t="shared" si="115"/>
        <v>6</v>
      </c>
      <c r="J877" s="1">
        <f>_xlfn.XLOOKUP(A877,'[1]Point of Sale Analysis'!$A:$A,'[1]Point of Sale Analysis'!$B:$B,"not found",0)</f>
        <v>2</v>
      </c>
      <c r="K877" s="1">
        <f t="shared" ref="K877:K882" si="121">ABS(J877-I877)</f>
        <v>4</v>
      </c>
    </row>
    <row r="878" spans="1:11" x14ac:dyDescent="0.3">
      <c r="A878" s="1" t="s">
        <v>884</v>
      </c>
      <c r="B878" s="1">
        <v>2</v>
      </c>
      <c r="C878" s="1">
        <v>2</v>
      </c>
      <c r="D878" s="1">
        <v>3</v>
      </c>
      <c r="E878" s="1"/>
      <c r="F878" s="1">
        <v>3</v>
      </c>
      <c r="G878" s="1">
        <v>3</v>
      </c>
      <c r="H878" s="1">
        <v>0</v>
      </c>
      <c r="I878" s="1">
        <f t="shared" si="115"/>
        <v>3</v>
      </c>
      <c r="J878" s="1">
        <f>_xlfn.XLOOKUP(A878,'[1]Point of Sale Analysis'!$A:$A,'[1]Point of Sale Analysis'!$B:$B,"not found",0)</f>
        <v>2</v>
      </c>
      <c r="K878" s="1">
        <f t="shared" si="121"/>
        <v>1</v>
      </c>
    </row>
    <row r="879" spans="1:11" x14ac:dyDescent="0.3">
      <c r="A879" s="1" t="s">
        <v>885</v>
      </c>
      <c r="B879" s="1">
        <v>6</v>
      </c>
      <c r="C879" s="1">
        <v>2</v>
      </c>
      <c r="D879" s="1"/>
      <c r="E879" s="1"/>
      <c r="F879" s="1">
        <v>0</v>
      </c>
      <c r="G879" s="1">
        <v>3</v>
      </c>
      <c r="H879" s="1">
        <v>1</v>
      </c>
      <c r="I879" s="1">
        <f t="shared" si="115"/>
        <v>4</v>
      </c>
      <c r="J879" s="1">
        <f>_xlfn.XLOOKUP(A879,'[1]Point of Sale Analysis'!$A:$A,'[1]Point of Sale Analysis'!$B:$B,"not found",0)</f>
        <v>3</v>
      </c>
      <c r="K879" s="1">
        <f t="shared" si="121"/>
        <v>1</v>
      </c>
    </row>
    <row r="880" spans="1:11" x14ac:dyDescent="0.3">
      <c r="A880" s="1" t="s">
        <v>886</v>
      </c>
      <c r="B880" s="1"/>
      <c r="C880" s="1">
        <v>1</v>
      </c>
      <c r="D880" s="1">
        <v>2</v>
      </c>
      <c r="E880" s="1"/>
      <c r="F880" s="1">
        <v>0</v>
      </c>
      <c r="G880" s="1">
        <v>2</v>
      </c>
      <c r="H880" s="1">
        <v>0</v>
      </c>
      <c r="I880" s="1">
        <f t="shared" si="115"/>
        <v>2</v>
      </c>
      <c r="J880" s="1">
        <f>_xlfn.XLOOKUP(A880,'[1]Point of Sale Analysis'!$A:$A,'[1]Point of Sale Analysis'!$B:$B,"not found",0)</f>
        <v>2</v>
      </c>
      <c r="K880" s="1">
        <f t="shared" si="121"/>
        <v>0</v>
      </c>
    </row>
    <row r="881" spans="1:11" x14ac:dyDescent="0.3">
      <c r="A881" s="1" t="s">
        <v>887</v>
      </c>
      <c r="B881" s="1">
        <v>2</v>
      </c>
      <c r="C881" s="1">
        <v>2</v>
      </c>
      <c r="D881" s="1">
        <v>1</v>
      </c>
      <c r="E881" s="1"/>
      <c r="F881" s="1">
        <v>0</v>
      </c>
      <c r="G881" s="1">
        <v>2</v>
      </c>
      <c r="H881" s="1">
        <v>0</v>
      </c>
      <c r="I881" s="1">
        <f t="shared" si="115"/>
        <v>2</v>
      </c>
      <c r="J881" s="1">
        <f>_xlfn.XLOOKUP(A881,'[1]Point of Sale Analysis'!$A:$A,'[1]Point of Sale Analysis'!$B:$B,"not found",0)</f>
        <v>1</v>
      </c>
      <c r="K881" s="1">
        <f t="shared" si="121"/>
        <v>1</v>
      </c>
    </row>
    <row r="882" spans="1:11" x14ac:dyDescent="0.3">
      <c r="A882" s="1" t="s">
        <v>888</v>
      </c>
      <c r="B882" s="1">
        <v>2</v>
      </c>
      <c r="C882" s="1">
        <v>4</v>
      </c>
      <c r="D882" s="1">
        <v>6</v>
      </c>
      <c r="E882" s="1">
        <v>2</v>
      </c>
      <c r="F882" s="1">
        <v>0</v>
      </c>
      <c r="G882" s="1">
        <v>1</v>
      </c>
      <c r="H882" s="1">
        <v>2</v>
      </c>
      <c r="I882" s="1">
        <f t="shared" si="115"/>
        <v>3</v>
      </c>
      <c r="J882" s="1">
        <f>_xlfn.XLOOKUP(A882,'[1]Point of Sale Analysis'!$A:$A,'[1]Point of Sale Analysis'!$B:$B,"not found",0)</f>
        <v>4</v>
      </c>
      <c r="K882" s="1">
        <f t="shared" si="121"/>
        <v>1</v>
      </c>
    </row>
    <row r="883" spans="1:11" hidden="1" x14ac:dyDescent="0.3">
      <c r="A883" t="s">
        <v>889</v>
      </c>
      <c r="B883">
        <v>2</v>
      </c>
      <c r="C883">
        <v>2</v>
      </c>
      <c r="F883">
        <v>3</v>
      </c>
      <c r="G883">
        <v>2</v>
      </c>
      <c r="H883">
        <v>0</v>
      </c>
      <c r="I883">
        <f t="shared" si="115"/>
        <v>2</v>
      </c>
      <c r="J883" t="str">
        <f>_xlfn.XLOOKUP(A883,'[1]Point of Sale Analysis'!$A:$A,'[1]Point of Sale Analysis'!$B:$B,"not found",0)</f>
        <v>not found</v>
      </c>
    </row>
    <row r="884" spans="1:11" hidden="1" x14ac:dyDescent="0.3">
      <c r="A884" t="s">
        <v>890</v>
      </c>
      <c r="B884">
        <v>1</v>
      </c>
      <c r="F884">
        <v>0</v>
      </c>
      <c r="G884">
        <v>1</v>
      </c>
      <c r="H884">
        <v>0</v>
      </c>
      <c r="I884">
        <f t="shared" si="115"/>
        <v>1</v>
      </c>
      <c r="J884" t="str">
        <f>_xlfn.XLOOKUP(A884,'[1]Point of Sale Analysis'!$A:$A,'[1]Point of Sale Analysis'!$B:$B,"not found",0)</f>
        <v>not found</v>
      </c>
    </row>
    <row r="885" spans="1:11" x14ac:dyDescent="0.3">
      <c r="A885" s="1" t="s">
        <v>891</v>
      </c>
      <c r="B885" s="1">
        <v>4</v>
      </c>
      <c r="C885" s="1">
        <v>1</v>
      </c>
      <c r="D885" s="1">
        <v>1</v>
      </c>
      <c r="E885" s="1">
        <v>1</v>
      </c>
      <c r="F885" s="1">
        <v>5</v>
      </c>
      <c r="G885" s="1">
        <v>3</v>
      </c>
      <c r="H885" s="1">
        <v>0</v>
      </c>
      <c r="I885" s="1">
        <f t="shared" si="115"/>
        <v>3</v>
      </c>
      <c r="J885" s="1">
        <f>_xlfn.XLOOKUP(A885,'[1]Point of Sale Analysis'!$A:$A,'[1]Point of Sale Analysis'!$B:$B,"not found",0)</f>
        <v>1</v>
      </c>
      <c r="K885" s="1">
        <f t="shared" ref="K885:K886" si="122">ABS(J885-I885)</f>
        <v>2</v>
      </c>
    </row>
    <row r="886" spans="1:11" x14ac:dyDescent="0.3">
      <c r="A886" s="1" t="s">
        <v>892</v>
      </c>
      <c r="B886" s="1">
        <v>11</v>
      </c>
      <c r="C886" s="1">
        <v>3</v>
      </c>
      <c r="D886" s="1">
        <v>5</v>
      </c>
      <c r="E886" s="1">
        <v>7</v>
      </c>
      <c r="F886" s="1">
        <v>57</v>
      </c>
      <c r="G886" s="1">
        <v>9</v>
      </c>
      <c r="H886" s="1">
        <v>0</v>
      </c>
      <c r="I886" s="1">
        <f t="shared" si="115"/>
        <v>9</v>
      </c>
      <c r="J886" s="1">
        <f>_xlfn.XLOOKUP(A886,'[1]Point of Sale Analysis'!$A:$A,'[1]Point of Sale Analysis'!$B:$B,"not found",0)</f>
        <v>3</v>
      </c>
      <c r="K886" s="1">
        <f t="shared" si="122"/>
        <v>6</v>
      </c>
    </row>
    <row r="887" spans="1:11" hidden="1" x14ac:dyDescent="0.3">
      <c r="A887" t="s">
        <v>893</v>
      </c>
      <c r="B887">
        <v>1</v>
      </c>
      <c r="F887">
        <v>1</v>
      </c>
      <c r="G887">
        <v>0</v>
      </c>
      <c r="H887">
        <v>1</v>
      </c>
      <c r="I887">
        <f t="shared" si="115"/>
        <v>1</v>
      </c>
      <c r="J887" t="str">
        <f>_xlfn.XLOOKUP(A887,'[1]Point of Sale Analysis'!$A:$A,'[1]Point of Sale Analysis'!$B:$B,"not found",0)</f>
        <v>not found</v>
      </c>
    </row>
    <row r="888" spans="1:11" hidden="1" x14ac:dyDescent="0.3">
      <c r="A888" t="s">
        <v>894</v>
      </c>
      <c r="B888">
        <v>1</v>
      </c>
      <c r="D888">
        <v>1</v>
      </c>
      <c r="F888">
        <v>6</v>
      </c>
      <c r="G888">
        <v>3</v>
      </c>
      <c r="H888">
        <v>0</v>
      </c>
      <c r="I888">
        <f t="shared" si="115"/>
        <v>3</v>
      </c>
      <c r="J888" t="str">
        <f>_xlfn.XLOOKUP(A888,'[1]Point of Sale Analysis'!$A:$A,'[1]Point of Sale Analysis'!$B:$B,"not found",0)</f>
        <v>not found</v>
      </c>
    </row>
    <row r="889" spans="1:11" x14ac:dyDescent="0.3">
      <c r="A889" s="1" t="s">
        <v>895</v>
      </c>
      <c r="B889" s="1">
        <v>1</v>
      </c>
      <c r="C889" s="1"/>
      <c r="D889" s="1">
        <v>1</v>
      </c>
      <c r="E889" s="1"/>
      <c r="F889" s="1">
        <v>0</v>
      </c>
      <c r="G889" s="1">
        <v>2</v>
      </c>
      <c r="H889" s="1">
        <v>0</v>
      </c>
      <c r="I889" s="1">
        <f t="shared" si="115"/>
        <v>2</v>
      </c>
      <c r="J889" s="1">
        <f>_xlfn.XLOOKUP(A889,'[1]Point of Sale Analysis'!$A:$A,'[1]Point of Sale Analysis'!$B:$B,"not found",0)</f>
        <v>1</v>
      </c>
      <c r="K889" s="1">
        <f>ABS(J889-I889)</f>
        <v>1</v>
      </c>
    </row>
    <row r="890" spans="1:11" hidden="1" x14ac:dyDescent="0.3">
      <c r="A890" t="s">
        <v>896</v>
      </c>
      <c r="B890">
        <v>2</v>
      </c>
      <c r="F890">
        <v>2</v>
      </c>
      <c r="G890">
        <v>2</v>
      </c>
      <c r="H890">
        <v>0</v>
      </c>
      <c r="I890">
        <f t="shared" si="115"/>
        <v>2</v>
      </c>
      <c r="J890" t="str">
        <f>_xlfn.XLOOKUP(A890,'[1]Point of Sale Analysis'!$A:$A,'[1]Point of Sale Analysis'!$B:$B,"not found",0)</f>
        <v>not found</v>
      </c>
    </row>
    <row r="891" spans="1:11" hidden="1" x14ac:dyDescent="0.3">
      <c r="A891" t="s">
        <v>897</v>
      </c>
      <c r="B891">
        <v>1</v>
      </c>
      <c r="E891">
        <v>1</v>
      </c>
      <c r="F891">
        <v>0</v>
      </c>
      <c r="G891">
        <v>0</v>
      </c>
      <c r="H891">
        <v>1</v>
      </c>
      <c r="I891">
        <f t="shared" si="115"/>
        <v>1</v>
      </c>
      <c r="J891" t="str">
        <f>_xlfn.XLOOKUP(A891,'[1]Point of Sale Analysis'!$A:$A,'[1]Point of Sale Analysis'!$B:$B,"not found",0)</f>
        <v>not found</v>
      </c>
    </row>
    <row r="892" spans="1:11" hidden="1" x14ac:dyDescent="0.3">
      <c r="A892" t="s">
        <v>898</v>
      </c>
      <c r="C892">
        <v>1</v>
      </c>
      <c r="D892">
        <v>1</v>
      </c>
      <c r="F892">
        <v>0</v>
      </c>
      <c r="G892">
        <v>0</v>
      </c>
      <c r="H892">
        <v>1</v>
      </c>
      <c r="I892">
        <f t="shared" si="115"/>
        <v>1</v>
      </c>
      <c r="J892" t="str">
        <f>_xlfn.XLOOKUP(A892,'[1]Point of Sale Analysis'!$A:$A,'[1]Point of Sale Analysis'!$B:$B,"not found",0)</f>
        <v>not found</v>
      </c>
    </row>
    <row r="893" spans="1:11" hidden="1" x14ac:dyDescent="0.3">
      <c r="A893" t="s">
        <v>899</v>
      </c>
      <c r="B893">
        <v>2</v>
      </c>
      <c r="F893">
        <v>5</v>
      </c>
      <c r="G893">
        <v>4</v>
      </c>
      <c r="H893">
        <v>0</v>
      </c>
      <c r="I893">
        <f t="shared" si="115"/>
        <v>4</v>
      </c>
      <c r="J893" t="str">
        <f>_xlfn.XLOOKUP(A893,'[1]Point of Sale Analysis'!$A:$A,'[1]Point of Sale Analysis'!$B:$B,"not found",0)</f>
        <v>not found</v>
      </c>
    </row>
    <row r="894" spans="1:11" hidden="1" x14ac:dyDescent="0.3">
      <c r="A894" t="s">
        <v>900</v>
      </c>
      <c r="B894">
        <v>1</v>
      </c>
      <c r="F894">
        <v>0</v>
      </c>
      <c r="G894">
        <v>0</v>
      </c>
      <c r="H894">
        <v>1</v>
      </c>
      <c r="I894">
        <f t="shared" si="115"/>
        <v>1</v>
      </c>
      <c r="J894" t="str">
        <f>_xlfn.XLOOKUP(A894,'[1]Point of Sale Analysis'!$A:$A,'[1]Point of Sale Analysis'!$B:$B,"not found",0)</f>
        <v>not found</v>
      </c>
    </row>
    <row r="895" spans="1:11" x14ac:dyDescent="0.3">
      <c r="A895" s="1" t="s">
        <v>901</v>
      </c>
      <c r="B895" s="1">
        <v>1</v>
      </c>
      <c r="C895" s="1"/>
      <c r="D895" s="1">
        <v>1</v>
      </c>
      <c r="E895" s="1"/>
      <c r="F895" s="1">
        <v>6</v>
      </c>
      <c r="G895" s="1">
        <v>3</v>
      </c>
      <c r="H895" s="1">
        <v>0</v>
      </c>
      <c r="I895" s="1">
        <f t="shared" si="115"/>
        <v>3</v>
      </c>
      <c r="J895" s="1">
        <f>_xlfn.XLOOKUP(A895,'[1]Point of Sale Analysis'!$A:$A,'[1]Point of Sale Analysis'!$B:$B,"not found",0)</f>
        <v>1</v>
      </c>
      <c r="K895" s="1">
        <f t="shared" ref="K895:K896" si="123">ABS(J895-I895)</f>
        <v>2</v>
      </c>
    </row>
    <row r="896" spans="1:11" x14ac:dyDescent="0.3">
      <c r="A896" s="1" t="s">
        <v>902</v>
      </c>
      <c r="B896" s="1">
        <v>5</v>
      </c>
      <c r="C896" s="1">
        <v>3</v>
      </c>
      <c r="D896" s="1">
        <v>7</v>
      </c>
      <c r="E896" s="1">
        <v>1</v>
      </c>
      <c r="F896" s="1">
        <v>4</v>
      </c>
      <c r="G896" s="1">
        <v>4</v>
      </c>
      <c r="H896" s="1">
        <v>0</v>
      </c>
      <c r="I896" s="1">
        <f t="shared" si="115"/>
        <v>4</v>
      </c>
      <c r="J896" s="1">
        <f>_xlfn.XLOOKUP(A896,'[1]Point of Sale Analysis'!$A:$A,'[1]Point of Sale Analysis'!$B:$B,"not found",0)</f>
        <v>1</v>
      </c>
      <c r="K896" s="1">
        <f t="shared" si="123"/>
        <v>3</v>
      </c>
    </row>
    <row r="897" spans="1:11" hidden="1" x14ac:dyDescent="0.3">
      <c r="A897" t="s">
        <v>903</v>
      </c>
      <c r="C897">
        <v>1</v>
      </c>
      <c r="F897">
        <v>4</v>
      </c>
      <c r="G897">
        <v>4</v>
      </c>
      <c r="H897">
        <v>0</v>
      </c>
      <c r="I897">
        <f t="shared" si="115"/>
        <v>4</v>
      </c>
      <c r="J897" t="str">
        <f>_xlfn.XLOOKUP(A897,'[1]Point of Sale Analysis'!$A:$A,'[1]Point of Sale Analysis'!$B:$B,"not found",0)</f>
        <v>not found</v>
      </c>
    </row>
    <row r="898" spans="1:11" hidden="1" x14ac:dyDescent="0.3">
      <c r="A898" t="s">
        <v>904</v>
      </c>
      <c r="B898">
        <v>3</v>
      </c>
      <c r="F898">
        <v>0</v>
      </c>
      <c r="G898">
        <v>-1</v>
      </c>
      <c r="H898">
        <v>4</v>
      </c>
      <c r="I898">
        <f t="shared" si="115"/>
        <v>3</v>
      </c>
      <c r="J898" t="str">
        <f>_xlfn.XLOOKUP(A898,'[1]Point of Sale Analysis'!$A:$A,'[1]Point of Sale Analysis'!$B:$B,"not found",0)</f>
        <v>not found</v>
      </c>
    </row>
    <row r="899" spans="1:11" x14ac:dyDescent="0.3">
      <c r="A899" s="1" t="s">
        <v>905</v>
      </c>
      <c r="B899" s="1">
        <v>2</v>
      </c>
      <c r="C899" s="1">
        <v>3</v>
      </c>
      <c r="D899" s="1">
        <v>3</v>
      </c>
      <c r="E899" s="1"/>
      <c r="F899" s="1">
        <v>3</v>
      </c>
      <c r="G899" s="1">
        <v>2</v>
      </c>
      <c r="H899" s="1">
        <v>1</v>
      </c>
      <c r="I899" s="1">
        <f t="shared" ref="I899:I939" si="124">G899+H899</f>
        <v>3</v>
      </c>
      <c r="J899" s="1">
        <f>_xlfn.XLOOKUP(A899,'[1]Point of Sale Analysis'!$A:$A,'[1]Point of Sale Analysis'!$B:$B,"not found",0)</f>
        <v>2</v>
      </c>
      <c r="K899" s="1">
        <f>ABS(J899-I899)</f>
        <v>1</v>
      </c>
    </row>
    <row r="900" spans="1:11" hidden="1" x14ac:dyDescent="0.3">
      <c r="A900" t="s">
        <v>906</v>
      </c>
      <c r="B900">
        <v>3</v>
      </c>
      <c r="C900">
        <v>2</v>
      </c>
      <c r="D900">
        <v>2</v>
      </c>
      <c r="E900">
        <v>2</v>
      </c>
      <c r="F900">
        <v>7</v>
      </c>
      <c r="G900">
        <v>4</v>
      </c>
      <c r="H900">
        <v>0</v>
      </c>
      <c r="I900">
        <f t="shared" si="124"/>
        <v>4</v>
      </c>
      <c r="J900" t="str">
        <f>_xlfn.XLOOKUP(A900,'[1]Point of Sale Analysis'!$A:$A,'[1]Point of Sale Analysis'!$B:$B,"not found",0)</f>
        <v>not found</v>
      </c>
    </row>
    <row r="901" spans="1:11" hidden="1" x14ac:dyDescent="0.3">
      <c r="A901" t="s">
        <v>907</v>
      </c>
      <c r="B901">
        <v>6</v>
      </c>
      <c r="E901">
        <v>1</v>
      </c>
      <c r="F901">
        <v>3</v>
      </c>
      <c r="G901">
        <v>5</v>
      </c>
      <c r="H901">
        <v>0</v>
      </c>
      <c r="I901">
        <f t="shared" si="124"/>
        <v>5</v>
      </c>
      <c r="J901" t="str">
        <f>_xlfn.XLOOKUP(A901,'[1]Point of Sale Analysis'!$A:$A,'[1]Point of Sale Analysis'!$B:$B,"not found",0)</f>
        <v>not found</v>
      </c>
    </row>
    <row r="902" spans="1:11" x14ac:dyDescent="0.3">
      <c r="A902" s="1" t="s">
        <v>908</v>
      </c>
      <c r="B902" s="1"/>
      <c r="C902" s="1">
        <v>2</v>
      </c>
      <c r="D902" s="1">
        <v>1</v>
      </c>
      <c r="E902" s="1">
        <v>1</v>
      </c>
      <c r="F902" s="1">
        <v>1</v>
      </c>
      <c r="G902" s="1">
        <v>1</v>
      </c>
      <c r="H902" s="1">
        <v>0</v>
      </c>
      <c r="I902" s="1">
        <f t="shared" si="124"/>
        <v>1</v>
      </c>
      <c r="J902" s="1">
        <f>_xlfn.XLOOKUP(A902,'[1]Point of Sale Analysis'!$A:$A,'[1]Point of Sale Analysis'!$B:$B,"not found",0)</f>
        <v>1</v>
      </c>
      <c r="K902" s="1">
        <f>ABS(J902-I902)</f>
        <v>0</v>
      </c>
    </row>
    <row r="903" spans="1:11" hidden="1" x14ac:dyDescent="0.3">
      <c r="A903" t="s">
        <v>909</v>
      </c>
      <c r="B903">
        <v>3</v>
      </c>
      <c r="E903">
        <v>1</v>
      </c>
      <c r="F903">
        <v>1</v>
      </c>
      <c r="G903">
        <v>2</v>
      </c>
      <c r="H903">
        <v>0</v>
      </c>
      <c r="I903">
        <f t="shared" si="124"/>
        <v>2</v>
      </c>
      <c r="J903" t="str">
        <f>_xlfn.XLOOKUP(A903,'[1]Point of Sale Analysis'!$A:$A,'[1]Point of Sale Analysis'!$B:$B,"not found",0)</f>
        <v>not found</v>
      </c>
    </row>
    <row r="904" spans="1:11" hidden="1" x14ac:dyDescent="0.3">
      <c r="A904" t="s">
        <v>910</v>
      </c>
      <c r="B904">
        <v>8</v>
      </c>
      <c r="C904">
        <v>4</v>
      </c>
      <c r="F904">
        <v>0</v>
      </c>
      <c r="G904">
        <v>1</v>
      </c>
      <c r="H904">
        <v>5</v>
      </c>
      <c r="I904">
        <f t="shared" si="124"/>
        <v>6</v>
      </c>
      <c r="J904" t="str">
        <f>_xlfn.XLOOKUP(A904,'[1]Point of Sale Analysis'!$A:$A,'[1]Point of Sale Analysis'!$B:$B,"not found",0)</f>
        <v>not found</v>
      </c>
    </row>
    <row r="905" spans="1:11" hidden="1" x14ac:dyDescent="0.3">
      <c r="A905" t="s">
        <v>911</v>
      </c>
      <c r="C905">
        <v>1</v>
      </c>
      <c r="D905">
        <v>3</v>
      </c>
      <c r="F905">
        <v>0</v>
      </c>
      <c r="G905">
        <v>1</v>
      </c>
      <c r="H905">
        <v>1</v>
      </c>
      <c r="I905">
        <f t="shared" si="124"/>
        <v>2</v>
      </c>
      <c r="J905" t="str">
        <f>_xlfn.XLOOKUP(A905,'[1]Point of Sale Analysis'!$A:$A,'[1]Point of Sale Analysis'!$B:$B,"not found",0)</f>
        <v>not found</v>
      </c>
    </row>
    <row r="906" spans="1:11" x14ac:dyDescent="0.3">
      <c r="A906" s="1" t="s">
        <v>912</v>
      </c>
      <c r="B906" s="1">
        <v>14</v>
      </c>
      <c r="C906" s="1">
        <v>10</v>
      </c>
      <c r="D906" s="1">
        <v>14</v>
      </c>
      <c r="E906" s="1">
        <v>6</v>
      </c>
      <c r="F906" s="1">
        <v>89</v>
      </c>
      <c r="G906" s="1">
        <v>17</v>
      </c>
      <c r="H906" s="1">
        <v>0</v>
      </c>
      <c r="I906" s="1">
        <f t="shared" si="124"/>
        <v>17</v>
      </c>
      <c r="J906" s="1">
        <f>_xlfn.XLOOKUP(A906,'[1]Point of Sale Analysis'!$A:$A,'[1]Point of Sale Analysis'!$B:$B,"not found",0)</f>
        <v>6</v>
      </c>
      <c r="K906" s="1">
        <f>ABS(J906-I906)</f>
        <v>11</v>
      </c>
    </row>
    <row r="907" spans="1:11" hidden="1" x14ac:dyDescent="0.3">
      <c r="A907" t="s">
        <v>913</v>
      </c>
      <c r="B907">
        <v>1</v>
      </c>
      <c r="D907">
        <v>1</v>
      </c>
      <c r="F907">
        <v>5</v>
      </c>
      <c r="G907">
        <v>2</v>
      </c>
      <c r="H907">
        <v>0</v>
      </c>
      <c r="I907">
        <f t="shared" si="124"/>
        <v>2</v>
      </c>
      <c r="J907" t="str">
        <f>_xlfn.XLOOKUP(A907,'[1]Point of Sale Analysis'!$A:$A,'[1]Point of Sale Analysis'!$B:$B,"not found",0)</f>
        <v>not found</v>
      </c>
    </row>
    <row r="908" spans="1:11" x14ac:dyDescent="0.3">
      <c r="A908" s="1" t="s">
        <v>914</v>
      </c>
      <c r="B908" s="1"/>
      <c r="C908" s="1"/>
      <c r="D908" s="1"/>
      <c r="E908" s="1">
        <v>1</v>
      </c>
      <c r="F908" s="1">
        <v>23</v>
      </c>
      <c r="G908" s="1">
        <v>6</v>
      </c>
      <c r="H908" s="1">
        <v>0</v>
      </c>
      <c r="I908" s="1">
        <f t="shared" si="124"/>
        <v>6</v>
      </c>
      <c r="J908" s="1">
        <f>_xlfn.XLOOKUP(A908,'[1]Point of Sale Analysis'!$A:$A,'[1]Point of Sale Analysis'!$B:$B,"not found",0)</f>
        <v>1</v>
      </c>
      <c r="K908" s="1">
        <f>ABS(J908-I908)</f>
        <v>5</v>
      </c>
    </row>
    <row r="909" spans="1:11" hidden="1" x14ac:dyDescent="0.3">
      <c r="A909" t="s">
        <v>915</v>
      </c>
      <c r="D909">
        <v>1</v>
      </c>
      <c r="F909">
        <v>8</v>
      </c>
      <c r="G909">
        <v>0</v>
      </c>
      <c r="H909">
        <v>1</v>
      </c>
      <c r="I909">
        <f t="shared" si="124"/>
        <v>1</v>
      </c>
      <c r="J909" t="str">
        <f>_xlfn.XLOOKUP(A909,'[1]Point of Sale Analysis'!$A:$A,'[1]Point of Sale Analysis'!$B:$B,"not found",0)</f>
        <v>not found</v>
      </c>
    </row>
    <row r="910" spans="1:11" x14ac:dyDescent="0.3">
      <c r="A910" s="1" t="s">
        <v>916</v>
      </c>
      <c r="B910" s="1">
        <v>2</v>
      </c>
      <c r="C910" s="1">
        <v>2</v>
      </c>
      <c r="D910" s="1"/>
      <c r="E910" s="1">
        <v>3</v>
      </c>
      <c r="F910" s="1">
        <v>17</v>
      </c>
      <c r="G910" s="1">
        <v>6</v>
      </c>
      <c r="H910" s="1">
        <v>0</v>
      </c>
      <c r="I910" s="1">
        <f t="shared" si="124"/>
        <v>6</v>
      </c>
      <c r="J910" s="1">
        <f>_xlfn.XLOOKUP(A910,'[1]Point of Sale Analysis'!$A:$A,'[1]Point of Sale Analysis'!$B:$B,"not found",0)</f>
        <v>3</v>
      </c>
      <c r="K910" s="1">
        <f t="shared" ref="K910:K912" si="125">ABS(J910-I910)</f>
        <v>3</v>
      </c>
    </row>
    <row r="911" spans="1:11" x14ac:dyDescent="0.3">
      <c r="A911" s="1" t="s">
        <v>917</v>
      </c>
      <c r="B911" s="1">
        <v>8</v>
      </c>
      <c r="C911" s="1">
        <v>1</v>
      </c>
      <c r="D911" s="1">
        <v>11</v>
      </c>
      <c r="E911" s="1">
        <v>2</v>
      </c>
      <c r="F911" s="1">
        <v>51</v>
      </c>
      <c r="G911" s="1">
        <v>8</v>
      </c>
      <c r="H911" s="1">
        <v>0</v>
      </c>
      <c r="I911" s="1">
        <f t="shared" si="124"/>
        <v>8</v>
      </c>
      <c r="J911" s="1">
        <f>_xlfn.XLOOKUP(A911,'[1]Point of Sale Analysis'!$A:$A,'[1]Point of Sale Analysis'!$B:$B,"not found",0)</f>
        <v>3</v>
      </c>
      <c r="K911" s="1">
        <f t="shared" si="125"/>
        <v>5</v>
      </c>
    </row>
    <row r="912" spans="1:11" x14ac:dyDescent="0.3">
      <c r="A912" s="1" t="s">
        <v>918</v>
      </c>
      <c r="B912" s="1"/>
      <c r="C912" s="1"/>
      <c r="D912" s="1"/>
      <c r="E912" s="1">
        <v>3</v>
      </c>
      <c r="F912" s="1">
        <v>27</v>
      </c>
      <c r="G912" s="1">
        <v>2</v>
      </c>
      <c r="H912" s="1">
        <v>1</v>
      </c>
      <c r="I912" s="1">
        <f t="shared" si="124"/>
        <v>3</v>
      </c>
      <c r="J912" s="1">
        <f>_xlfn.XLOOKUP(A912,'[1]Point of Sale Analysis'!$A:$A,'[1]Point of Sale Analysis'!$B:$B,"not found",0)</f>
        <v>2</v>
      </c>
      <c r="K912" s="1">
        <f t="shared" si="125"/>
        <v>1</v>
      </c>
    </row>
    <row r="913" spans="1:11" hidden="1" x14ac:dyDescent="0.3">
      <c r="A913" t="s">
        <v>919</v>
      </c>
      <c r="B913">
        <v>5</v>
      </c>
      <c r="C913">
        <v>2</v>
      </c>
      <c r="D913">
        <v>4</v>
      </c>
      <c r="E913">
        <v>3</v>
      </c>
      <c r="F913">
        <v>0</v>
      </c>
      <c r="G913">
        <v>1</v>
      </c>
      <c r="H913">
        <v>2</v>
      </c>
      <c r="I913">
        <f t="shared" si="124"/>
        <v>3</v>
      </c>
      <c r="J913" t="str">
        <f>_xlfn.XLOOKUP(A913,'[1]Point of Sale Analysis'!$A:$A,'[1]Point of Sale Analysis'!$B:$B,"not found",0)</f>
        <v>not found</v>
      </c>
    </row>
    <row r="914" spans="1:11" x14ac:dyDescent="0.3">
      <c r="A914" s="1" t="s">
        <v>920</v>
      </c>
      <c r="B914" s="1">
        <v>1</v>
      </c>
      <c r="C914" s="1">
        <v>3</v>
      </c>
      <c r="D914" s="1"/>
      <c r="E914" s="1"/>
      <c r="F914" s="1">
        <v>33</v>
      </c>
      <c r="G914" s="1">
        <v>4</v>
      </c>
      <c r="H914" s="1">
        <v>0</v>
      </c>
      <c r="I914" s="1">
        <f t="shared" si="124"/>
        <v>4</v>
      </c>
      <c r="J914" s="1">
        <f>_xlfn.XLOOKUP(A914,'[1]Point of Sale Analysis'!$A:$A,'[1]Point of Sale Analysis'!$B:$B,"not found",0)</f>
        <v>1</v>
      </c>
      <c r="K914" s="1">
        <f t="shared" ref="K914:K915" si="126">ABS(J914-I914)</f>
        <v>3</v>
      </c>
    </row>
    <row r="915" spans="1:11" x14ac:dyDescent="0.3">
      <c r="A915" s="1" t="s">
        <v>921</v>
      </c>
      <c r="B915" s="1"/>
      <c r="C915" s="1"/>
      <c r="D915" s="1">
        <v>1</v>
      </c>
      <c r="E915" s="1">
        <v>2</v>
      </c>
      <c r="F915" s="1">
        <v>0</v>
      </c>
      <c r="G915" s="1">
        <v>1</v>
      </c>
      <c r="H915" s="1">
        <v>0</v>
      </c>
      <c r="I915" s="1">
        <f t="shared" si="124"/>
        <v>1</v>
      </c>
      <c r="J915" s="1">
        <f>_xlfn.XLOOKUP(A915,'[1]Point of Sale Analysis'!$A:$A,'[1]Point of Sale Analysis'!$B:$B,"not found",0)</f>
        <v>1</v>
      </c>
      <c r="K915" s="1">
        <f t="shared" si="126"/>
        <v>0</v>
      </c>
    </row>
    <row r="916" spans="1:11" hidden="1" x14ac:dyDescent="0.3">
      <c r="A916" t="s">
        <v>922</v>
      </c>
      <c r="C916">
        <v>4</v>
      </c>
      <c r="D916">
        <v>5</v>
      </c>
      <c r="F916">
        <v>0</v>
      </c>
      <c r="G916">
        <v>0</v>
      </c>
      <c r="H916">
        <v>4</v>
      </c>
      <c r="I916">
        <f t="shared" si="124"/>
        <v>4</v>
      </c>
      <c r="J916" t="str">
        <f>_xlfn.XLOOKUP(A916,'[1]Point of Sale Analysis'!$A:$A,'[1]Point of Sale Analysis'!$B:$B,"not found",0)</f>
        <v>not found</v>
      </c>
    </row>
    <row r="917" spans="1:11" hidden="1" x14ac:dyDescent="0.3">
      <c r="A917" t="s">
        <v>923</v>
      </c>
      <c r="C917">
        <v>4</v>
      </c>
      <c r="F917">
        <v>0</v>
      </c>
      <c r="G917">
        <v>0</v>
      </c>
      <c r="H917">
        <v>4</v>
      </c>
      <c r="I917">
        <f t="shared" si="124"/>
        <v>4</v>
      </c>
      <c r="J917" t="str">
        <f>_xlfn.XLOOKUP(A917,'[1]Point of Sale Analysis'!$A:$A,'[1]Point of Sale Analysis'!$B:$B,"not found",0)</f>
        <v>not found</v>
      </c>
    </row>
    <row r="918" spans="1:11" hidden="1" x14ac:dyDescent="0.3">
      <c r="A918" t="s">
        <v>924</v>
      </c>
      <c r="C918">
        <v>1</v>
      </c>
      <c r="D918">
        <v>2</v>
      </c>
      <c r="F918">
        <v>0</v>
      </c>
      <c r="G918">
        <v>1</v>
      </c>
      <c r="H918">
        <v>0</v>
      </c>
      <c r="I918">
        <f t="shared" si="124"/>
        <v>1</v>
      </c>
      <c r="J918" t="str">
        <f>_xlfn.XLOOKUP(A918,'[1]Point of Sale Analysis'!$A:$A,'[1]Point of Sale Analysis'!$B:$B,"not found",0)</f>
        <v>not found</v>
      </c>
    </row>
    <row r="919" spans="1:11" hidden="1" x14ac:dyDescent="0.3">
      <c r="A919" t="s">
        <v>925</v>
      </c>
      <c r="C919">
        <v>4</v>
      </c>
      <c r="F919">
        <v>0</v>
      </c>
      <c r="G919">
        <v>0</v>
      </c>
      <c r="H919">
        <v>4</v>
      </c>
      <c r="I919">
        <f t="shared" si="124"/>
        <v>4</v>
      </c>
      <c r="J919" t="str">
        <f>_xlfn.XLOOKUP(A919,'[1]Point of Sale Analysis'!$A:$A,'[1]Point of Sale Analysis'!$B:$B,"not found",0)</f>
        <v>not found</v>
      </c>
    </row>
    <row r="920" spans="1:11" hidden="1" x14ac:dyDescent="0.3">
      <c r="A920" t="s">
        <v>926</v>
      </c>
      <c r="D920">
        <v>2</v>
      </c>
      <c r="E920">
        <v>1</v>
      </c>
      <c r="F920">
        <v>0</v>
      </c>
      <c r="G920">
        <v>1</v>
      </c>
      <c r="H920">
        <v>0</v>
      </c>
      <c r="I920">
        <f t="shared" si="124"/>
        <v>1</v>
      </c>
      <c r="J920" t="str">
        <f>_xlfn.XLOOKUP(A920,'[1]Point of Sale Analysis'!$A:$A,'[1]Point of Sale Analysis'!$B:$B,"not found",0)</f>
        <v>not found</v>
      </c>
    </row>
    <row r="921" spans="1:11" hidden="1" x14ac:dyDescent="0.3">
      <c r="A921" t="s">
        <v>927</v>
      </c>
      <c r="C921">
        <v>1</v>
      </c>
      <c r="D921">
        <v>2</v>
      </c>
      <c r="F921">
        <v>13</v>
      </c>
      <c r="G921">
        <v>3</v>
      </c>
      <c r="H921">
        <v>0</v>
      </c>
      <c r="I921">
        <f t="shared" si="124"/>
        <v>3</v>
      </c>
      <c r="J921" t="str">
        <f>_xlfn.XLOOKUP(A921,'[1]Point of Sale Analysis'!$A:$A,'[1]Point of Sale Analysis'!$B:$B,"not found",0)</f>
        <v>not found</v>
      </c>
    </row>
    <row r="922" spans="1:11" x14ac:dyDescent="0.3">
      <c r="A922" s="1" t="s">
        <v>928</v>
      </c>
      <c r="B922" s="1"/>
      <c r="C922" s="1">
        <v>1</v>
      </c>
      <c r="D922" s="1"/>
      <c r="E922" s="1">
        <v>1</v>
      </c>
      <c r="F922" s="1">
        <v>0</v>
      </c>
      <c r="G922" s="1">
        <v>1</v>
      </c>
      <c r="H922" s="1">
        <v>0</v>
      </c>
      <c r="I922" s="1">
        <f t="shared" si="124"/>
        <v>1</v>
      </c>
      <c r="J922" s="1">
        <f>_xlfn.XLOOKUP(A922,'[1]Point of Sale Analysis'!$A:$A,'[1]Point of Sale Analysis'!$B:$B,"not found",0)</f>
        <v>1</v>
      </c>
      <c r="K922" s="1">
        <f>ABS(J922-I922)</f>
        <v>0</v>
      </c>
    </row>
    <row r="923" spans="1:11" hidden="1" x14ac:dyDescent="0.3">
      <c r="A923" t="s">
        <v>929</v>
      </c>
      <c r="C923">
        <v>1</v>
      </c>
      <c r="D923">
        <v>2</v>
      </c>
      <c r="E923">
        <v>1</v>
      </c>
      <c r="F923">
        <v>0</v>
      </c>
      <c r="G923">
        <v>0</v>
      </c>
      <c r="H923">
        <v>1</v>
      </c>
      <c r="I923">
        <f t="shared" si="124"/>
        <v>1</v>
      </c>
      <c r="J923" t="str">
        <f>_xlfn.XLOOKUP(A923,'[1]Point of Sale Analysis'!$A:$A,'[1]Point of Sale Analysis'!$B:$B,"not found",0)</f>
        <v>not found</v>
      </c>
    </row>
    <row r="924" spans="1:11" x14ac:dyDescent="0.3">
      <c r="A924" s="1" t="s">
        <v>930</v>
      </c>
      <c r="B924" s="1"/>
      <c r="C924" s="1"/>
      <c r="D924" s="1"/>
      <c r="E924" s="1">
        <v>4</v>
      </c>
      <c r="F924" s="1">
        <v>0</v>
      </c>
      <c r="G924" s="1">
        <v>0</v>
      </c>
      <c r="H924" s="1">
        <v>4</v>
      </c>
      <c r="I924" s="1">
        <f t="shared" si="124"/>
        <v>4</v>
      </c>
      <c r="J924" s="1">
        <f>_xlfn.XLOOKUP(A924,'[1]Point of Sale Analysis'!$A:$A,'[1]Point of Sale Analysis'!$B:$B,"not found",0)</f>
        <v>1</v>
      </c>
      <c r="K924" s="1">
        <f t="shared" ref="K924:K928" si="127">ABS(J924-I924)</f>
        <v>3</v>
      </c>
    </row>
    <row r="925" spans="1:11" x14ac:dyDescent="0.3">
      <c r="A925" s="1" t="s">
        <v>931</v>
      </c>
      <c r="B925" s="1"/>
      <c r="C925" s="1">
        <v>7</v>
      </c>
      <c r="D925" s="1">
        <v>7</v>
      </c>
      <c r="E925" s="1">
        <v>4</v>
      </c>
      <c r="F925" s="1">
        <v>0</v>
      </c>
      <c r="G925" s="1">
        <v>0</v>
      </c>
      <c r="H925" s="1">
        <v>7</v>
      </c>
      <c r="I925" s="1">
        <f t="shared" si="124"/>
        <v>7</v>
      </c>
      <c r="J925" s="1">
        <f>_xlfn.XLOOKUP(A925,'[1]Point of Sale Analysis'!$A:$A,'[1]Point of Sale Analysis'!$B:$B,"not found",0)</f>
        <v>2</v>
      </c>
      <c r="K925" s="1">
        <f t="shared" si="127"/>
        <v>5</v>
      </c>
    </row>
    <row r="926" spans="1:11" x14ac:dyDescent="0.3">
      <c r="A926" s="1" t="s">
        <v>932</v>
      </c>
      <c r="B926" s="1"/>
      <c r="C926" s="1"/>
      <c r="D926" s="1"/>
      <c r="E926" s="1">
        <v>1</v>
      </c>
      <c r="F926" s="1">
        <v>0</v>
      </c>
      <c r="G926" s="1">
        <v>0</v>
      </c>
      <c r="H926" s="1">
        <v>1</v>
      </c>
      <c r="I926" s="1">
        <f t="shared" si="124"/>
        <v>1</v>
      </c>
      <c r="J926" s="1">
        <f>_xlfn.XLOOKUP(A926,'[1]Point of Sale Analysis'!$A:$A,'[1]Point of Sale Analysis'!$B:$B,"not found",0)</f>
        <v>1</v>
      </c>
      <c r="K926" s="1">
        <f t="shared" si="127"/>
        <v>0</v>
      </c>
    </row>
    <row r="927" spans="1:11" x14ac:dyDescent="0.3">
      <c r="A927" s="1" t="s">
        <v>933</v>
      </c>
      <c r="B927" s="1">
        <v>5</v>
      </c>
      <c r="C927" s="1">
        <v>6</v>
      </c>
      <c r="D927" s="1">
        <v>5</v>
      </c>
      <c r="E927" s="1">
        <v>2</v>
      </c>
      <c r="F927" s="1">
        <v>10</v>
      </c>
      <c r="G927" s="1">
        <v>4</v>
      </c>
      <c r="H927" s="1">
        <v>1</v>
      </c>
      <c r="I927" s="1">
        <f t="shared" si="124"/>
        <v>5</v>
      </c>
      <c r="J927" s="1">
        <f>_xlfn.XLOOKUP(A927,'[1]Point of Sale Analysis'!$A:$A,'[1]Point of Sale Analysis'!$B:$B,"not found",0)</f>
        <v>4</v>
      </c>
      <c r="K927" s="1">
        <f t="shared" si="127"/>
        <v>1</v>
      </c>
    </row>
    <row r="928" spans="1:11" x14ac:dyDescent="0.3">
      <c r="A928" s="1" t="s">
        <v>934</v>
      </c>
      <c r="B928" s="1">
        <v>1</v>
      </c>
      <c r="C928" s="1">
        <v>3</v>
      </c>
      <c r="D928" s="1">
        <v>3</v>
      </c>
      <c r="E928" s="1">
        <v>1</v>
      </c>
      <c r="F928" s="1">
        <v>7</v>
      </c>
      <c r="G928" s="1">
        <v>0</v>
      </c>
      <c r="H928" s="1">
        <v>2</v>
      </c>
      <c r="I928" s="1">
        <f t="shared" si="124"/>
        <v>2</v>
      </c>
      <c r="J928" s="1">
        <f>_xlfn.XLOOKUP(A928,'[1]Point of Sale Analysis'!$A:$A,'[1]Point of Sale Analysis'!$B:$B,"not found",0)</f>
        <v>3</v>
      </c>
      <c r="K928" s="1">
        <f t="shared" si="127"/>
        <v>1</v>
      </c>
    </row>
    <row r="929" spans="1:11" hidden="1" x14ac:dyDescent="0.3">
      <c r="A929" t="s">
        <v>935</v>
      </c>
      <c r="B929">
        <v>5</v>
      </c>
      <c r="C929">
        <v>4</v>
      </c>
      <c r="D929">
        <v>5</v>
      </c>
      <c r="E929">
        <v>4</v>
      </c>
      <c r="F929">
        <v>4</v>
      </c>
      <c r="G929">
        <v>3</v>
      </c>
      <c r="H929">
        <v>1</v>
      </c>
      <c r="I929">
        <f t="shared" si="124"/>
        <v>4</v>
      </c>
      <c r="J929" t="str">
        <f>_xlfn.XLOOKUP(A929,'[1]Point of Sale Analysis'!$A:$A,'[1]Point of Sale Analysis'!$B:$B,"not found",0)</f>
        <v>not found</v>
      </c>
    </row>
    <row r="930" spans="1:11" x14ac:dyDescent="0.3">
      <c r="A930" s="1" t="s">
        <v>936</v>
      </c>
      <c r="B930" s="1"/>
      <c r="C930" s="1"/>
      <c r="D930" s="1">
        <v>2</v>
      </c>
      <c r="E930" s="1">
        <v>2</v>
      </c>
      <c r="F930" s="1">
        <v>7</v>
      </c>
      <c r="G930" s="1">
        <v>1</v>
      </c>
      <c r="H930" s="1">
        <v>1</v>
      </c>
      <c r="I930" s="1">
        <f t="shared" si="124"/>
        <v>2</v>
      </c>
      <c r="J930" s="1">
        <f>_xlfn.XLOOKUP(A930,'[1]Point of Sale Analysis'!$A:$A,'[1]Point of Sale Analysis'!$B:$B,"not found",0)</f>
        <v>2</v>
      </c>
      <c r="K930" s="1">
        <f t="shared" ref="K930:K933" si="128">ABS(J930-I930)</f>
        <v>0</v>
      </c>
    </row>
    <row r="931" spans="1:11" x14ac:dyDescent="0.3">
      <c r="A931" s="1" t="s">
        <v>937</v>
      </c>
      <c r="B931" s="1">
        <v>3</v>
      </c>
      <c r="C931" s="1">
        <v>3</v>
      </c>
      <c r="D931" s="1">
        <v>4</v>
      </c>
      <c r="E931" s="1">
        <v>2</v>
      </c>
      <c r="F931" s="1">
        <v>5</v>
      </c>
      <c r="G931" s="1">
        <v>7</v>
      </c>
      <c r="H931" s="1">
        <v>0</v>
      </c>
      <c r="I931" s="1">
        <f t="shared" si="124"/>
        <v>7</v>
      </c>
      <c r="J931" s="1">
        <f>_xlfn.XLOOKUP(A931,'[1]Point of Sale Analysis'!$A:$A,'[1]Point of Sale Analysis'!$B:$B,"not found",0)</f>
        <v>2</v>
      </c>
      <c r="K931" s="1">
        <f t="shared" si="128"/>
        <v>5</v>
      </c>
    </row>
    <row r="932" spans="1:11" x14ac:dyDescent="0.3">
      <c r="A932" s="1" t="s">
        <v>938</v>
      </c>
      <c r="B932" s="1">
        <v>2</v>
      </c>
      <c r="C932" s="1">
        <v>1</v>
      </c>
      <c r="D932" s="1"/>
      <c r="E932" s="1"/>
      <c r="F932" s="1">
        <v>3</v>
      </c>
      <c r="G932" s="1">
        <v>1</v>
      </c>
      <c r="H932" s="1">
        <v>0</v>
      </c>
      <c r="I932" s="1">
        <f t="shared" si="124"/>
        <v>1</v>
      </c>
      <c r="J932" s="1">
        <f>_xlfn.XLOOKUP(A932,'[1]Point of Sale Analysis'!$A:$A,'[1]Point of Sale Analysis'!$B:$B,"not found",0)</f>
        <v>3</v>
      </c>
      <c r="K932" s="1">
        <f t="shared" si="128"/>
        <v>2</v>
      </c>
    </row>
    <row r="933" spans="1:11" x14ac:dyDescent="0.3">
      <c r="A933" s="1" t="s">
        <v>939</v>
      </c>
      <c r="B933" s="1">
        <v>2</v>
      </c>
      <c r="C933" s="1"/>
      <c r="D933" s="1"/>
      <c r="E933" s="1"/>
      <c r="F933" s="1">
        <v>3</v>
      </c>
      <c r="G933" s="1">
        <v>2</v>
      </c>
      <c r="H933" s="1">
        <v>0</v>
      </c>
      <c r="I933" s="1">
        <f t="shared" si="124"/>
        <v>2</v>
      </c>
      <c r="J933" s="1">
        <f>_xlfn.XLOOKUP(A933,'[1]Point of Sale Analysis'!$A:$A,'[1]Point of Sale Analysis'!$B:$B,"not found",0)</f>
        <v>1</v>
      </c>
      <c r="K933" s="1">
        <f t="shared" si="128"/>
        <v>1</v>
      </c>
    </row>
    <row r="934" spans="1:11" hidden="1" x14ac:dyDescent="0.3">
      <c r="A934" t="s">
        <v>940</v>
      </c>
      <c r="B934">
        <v>1</v>
      </c>
      <c r="F934">
        <v>8</v>
      </c>
      <c r="G934">
        <v>1</v>
      </c>
      <c r="H934">
        <v>0</v>
      </c>
      <c r="I934">
        <f t="shared" si="124"/>
        <v>1</v>
      </c>
      <c r="J934" t="str">
        <f>_xlfn.XLOOKUP(A934,'[1]Point of Sale Analysis'!$A:$A,'[1]Point of Sale Analysis'!$B:$B,"not found",0)</f>
        <v>not found</v>
      </c>
    </row>
    <row r="935" spans="1:11" x14ac:dyDescent="0.3">
      <c r="A935" s="1" t="s">
        <v>941</v>
      </c>
      <c r="B935" s="1">
        <v>2</v>
      </c>
      <c r="C935" s="1"/>
      <c r="D935" s="1"/>
      <c r="E935" s="1">
        <v>1</v>
      </c>
      <c r="F935" s="1">
        <v>3</v>
      </c>
      <c r="G935" s="1">
        <v>2</v>
      </c>
      <c r="H935" s="1">
        <v>0</v>
      </c>
      <c r="I935" s="1">
        <f t="shared" si="124"/>
        <v>2</v>
      </c>
      <c r="J935" s="1">
        <f>_xlfn.XLOOKUP(A935,'[1]Point of Sale Analysis'!$A:$A,'[1]Point of Sale Analysis'!$B:$B,"not found",0)</f>
        <v>2</v>
      </c>
      <c r="K935" s="1">
        <f t="shared" ref="K935:K937" si="129">ABS(J935-I935)</f>
        <v>0</v>
      </c>
    </row>
    <row r="936" spans="1:11" x14ac:dyDescent="0.3">
      <c r="A936" s="1" t="s">
        <v>942</v>
      </c>
      <c r="B936" s="1"/>
      <c r="C936" s="1"/>
      <c r="D936" s="1"/>
      <c r="E936" s="1">
        <v>1</v>
      </c>
      <c r="F936" s="1">
        <v>1</v>
      </c>
      <c r="G936" s="1">
        <v>2</v>
      </c>
      <c r="H936" s="1">
        <v>0</v>
      </c>
      <c r="I936" s="1">
        <f t="shared" si="124"/>
        <v>2</v>
      </c>
      <c r="J936" s="1">
        <f>_xlfn.XLOOKUP(A936,'[1]Point of Sale Analysis'!$A:$A,'[1]Point of Sale Analysis'!$B:$B,"not found",0)</f>
        <v>1</v>
      </c>
      <c r="K936" s="1">
        <f t="shared" si="129"/>
        <v>1</v>
      </c>
    </row>
    <row r="937" spans="1:11" x14ac:dyDescent="0.3">
      <c r="A937" s="1" t="s">
        <v>943</v>
      </c>
      <c r="B937" s="1">
        <v>3</v>
      </c>
      <c r="C937" s="1">
        <v>2</v>
      </c>
      <c r="D937" s="1">
        <v>2</v>
      </c>
      <c r="E937" s="1">
        <v>2</v>
      </c>
      <c r="F937" s="1">
        <v>4</v>
      </c>
      <c r="G937" s="1">
        <v>1</v>
      </c>
      <c r="H937" s="1">
        <v>1</v>
      </c>
      <c r="I937" s="1">
        <f t="shared" si="124"/>
        <v>2</v>
      </c>
      <c r="J937" s="1">
        <f>_xlfn.XLOOKUP(A937,'[1]Point of Sale Analysis'!$A:$A,'[1]Point of Sale Analysis'!$B:$B,"not found",0)</f>
        <v>3</v>
      </c>
      <c r="K937" s="1">
        <f t="shared" si="129"/>
        <v>1</v>
      </c>
    </row>
    <row r="938" spans="1:11" hidden="1" x14ac:dyDescent="0.3">
      <c r="A938" t="s">
        <v>944</v>
      </c>
      <c r="B938">
        <v>4</v>
      </c>
      <c r="F938">
        <v>0</v>
      </c>
      <c r="G938">
        <v>0</v>
      </c>
      <c r="H938">
        <v>4</v>
      </c>
      <c r="I938">
        <f t="shared" si="124"/>
        <v>4</v>
      </c>
      <c r="J938" t="str">
        <f>_xlfn.XLOOKUP(A938,'[1]Point of Sale Analysis'!$A:$A,'[1]Point of Sale Analysis'!$B:$B,"not found",0)</f>
        <v>not found</v>
      </c>
    </row>
    <row r="939" spans="1:11" x14ac:dyDescent="0.3">
      <c r="A939" s="1" t="s">
        <v>945</v>
      </c>
      <c r="B939" s="1">
        <v>3</v>
      </c>
      <c r="C939" s="1">
        <v>1</v>
      </c>
      <c r="D939" s="1">
        <v>2</v>
      </c>
      <c r="E939" s="1"/>
      <c r="F939" s="1">
        <v>0</v>
      </c>
      <c r="G939" s="1">
        <v>2</v>
      </c>
      <c r="H939" s="1">
        <v>0</v>
      </c>
      <c r="I939" s="1">
        <f t="shared" si="124"/>
        <v>2</v>
      </c>
      <c r="J939" s="1">
        <f>_xlfn.XLOOKUP(A939,'[1]Point of Sale Analysis'!$A:$A,'[1]Point of Sale Analysis'!$B:$B,"not found",0)</f>
        <v>4</v>
      </c>
      <c r="K939" s="1">
        <f>ABS(J939-I939)</f>
        <v>2</v>
      </c>
    </row>
    <row r="940" spans="1:11" x14ac:dyDescent="0.3">
      <c r="J940" t="s">
        <v>949</v>
      </c>
      <c r="K940">
        <f>AVERAGE(K2:K939)</f>
        <v>2.60990099009901</v>
      </c>
    </row>
    <row r="941" spans="1:11" x14ac:dyDescent="0.3">
      <c r="J941" t="s">
        <v>950</v>
      </c>
      <c r="K941">
        <f>SUM(K2:K939)</f>
        <v>1318</v>
      </c>
    </row>
    <row r="942" spans="1:11" x14ac:dyDescent="0.3">
      <c r="K942">
        <f>K940/K941*100</f>
        <v>0.19801980198019803</v>
      </c>
    </row>
  </sheetData>
  <autoFilter ref="A1:J939" xr:uid="{00000000-0001-0000-0000-000000000000}">
    <filterColumn colId="9">
      <filters>
        <filter val="1"/>
        <filter val="10"/>
        <filter val="11"/>
        <filter val="12"/>
        <filter val="14"/>
        <filter val="18"/>
        <filter val="19"/>
        <filter val="2"/>
        <filter val="21"/>
        <filter val="23"/>
        <filter val="3"/>
        <filter val="4"/>
        <filter val="5"/>
        <filter val="59"/>
        <filter val="6"/>
        <filter val="7"/>
        <filter val="8"/>
        <filter val="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 Acharya</cp:lastModifiedBy>
  <dcterms:created xsi:type="dcterms:W3CDTF">2026-04-26T11:21:36Z</dcterms:created>
  <dcterms:modified xsi:type="dcterms:W3CDTF">2026-04-28T11:03:44Z</dcterms:modified>
</cp:coreProperties>
</file>